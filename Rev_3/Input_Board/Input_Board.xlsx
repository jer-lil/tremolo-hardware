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Board" sheetId="1" r:id="rId1"/>
  </sheets>
  <definedNames>
    <definedName name="BoardQty" localSheetId="0">'Input_Board'!$G$1</definedName>
    <definedName name="PURCHASE_DESCRIPTION" localSheetId="0">'Input_Board'!$G$15</definedName>
    <definedName name="TotalCost" localSheetId="0">'Input_Board'!$G$3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F3" authorId="0">
      <text>
        <r>
          <rPr>
            <sz val="8"/>
            <color indexed="81"/>
            <rFont val="Tahoma"/>
            <family val="2"/>
          </rPr>
          <t>Use the minimum extend price across distributors not taking account available quantities.</t>
        </r>
      </text>
    </comment>
    <comment ref="M3" authorId="0">
      <text>
        <r>
          <rPr>
            <sz val="8"/>
            <color indexed="81"/>
            <rFont val="Tahoma"/>
            <family val="2"/>
          </rPr>
          <t>Number of parts found at this distributor.</t>
        </r>
      </text>
    </comment>
    <comment ref="A6" authorId="0">
      <text>
        <r>
          <rPr>
            <sz val="8"/>
            <color indexed="81"/>
            <rFont val="Tahoma"/>
            <family val="2"/>
          </rPr>
          <t>Schematic identifier for each part.</t>
        </r>
      </text>
    </comment>
    <comment ref="B6" authorId="0">
      <text>
        <r>
          <rPr>
            <sz val="8"/>
            <color indexed="81"/>
            <rFont val="Tahoma"/>
            <family val="2"/>
          </rPr>
          <t>Value of each part.</t>
        </r>
      </text>
    </comment>
    <comment ref="C6" authorId="0">
      <text>
        <r>
          <rPr>
            <sz val="8"/>
            <color indexed="81"/>
            <rFont val="Tahoma"/>
            <family val="2"/>
          </rPr>
          <t>PCB footprint for each part.</t>
        </r>
      </text>
    </comment>
    <comment ref="D6" authorId="0">
      <text>
        <r>
          <rPr>
            <sz val="8"/>
            <color indexed="81"/>
            <rFont val="Tahoma"/>
            <family val="2"/>
          </rPr>
          <t>Manufacturer number for each part and link to it's datasheet (Ctrl-click).
Purple -&gt; Obsolete part detected by one of the distributors.</t>
        </r>
      </text>
    </comment>
    <comment ref="E6" authorId="0">
      <text>
        <r>
          <rPr>
            <sz val="8"/>
            <color indexed="81"/>
            <rFont val="Tahoma"/>
            <family val="2"/>
          </rPr>
          <t>Total number of each part needed.
Gray -&gt; No manf# provided.
Red -&gt; No parts available.
Orange -&gt; Not enough parts available.
Yellow -&gt; Parts available, but haven't purchased enough.</t>
        </r>
      </text>
    </comment>
    <comment ref="F6" authorId="0">
      <text>
        <r>
          <rPr>
            <sz val="8"/>
            <color indexed="81"/>
            <rFont val="Tahoma"/>
            <family val="2"/>
          </rPr>
          <t>Minimum unit price for each part across all distributors.</t>
        </r>
      </text>
    </comment>
    <comment ref="G6" authorId="0">
      <text>
        <r>
          <rPr>
            <sz val="8"/>
            <color indexed="81"/>
            <rFont val="Tahoma"/>
            <family val="2"/>
          </rPr>
          <t>Minimum extended price for each part across all distributors.</t>
        </r>
      </text>
    </comment>
    <comment ref="H6" authorId="0">
      <text>
        <r>
          <rPr>
            <sz val="8"/>
            <color indexed="81"/>
            <rFont val="Tahoma"/>
            <family val="2"/>
          </rPr>
          <t>Available quantity of each part at the distributor.
Red -&gt; No quantity available.
Orange -&gt; Too little quantity available.</t>
        </r>
      </text>
    </comment>
    <comment ref="I6" authorId="0">
      <text>
        <r>
          <rPr>
            <sz val="8"/>
            <color indexed="81"/>
            <rFont val="Tahoma"/>
            <family val="2"/>
          </rPr>
          <t>Purchase quantity of each part from this distributor.
Yellow -&gt; This part have a minimum purchase quantity bigger than 1 (check the price breaks).
Red -&gt; Purchasing more than the available quantity.</t>
        </r>
      </text>
    </comment>
    <comment ref="J6" authorId="0">
      <text>
        <r>
          <rPr>
            <sz val="8"/>
            <color indexed="81"/>
            <rFont val="Tahoma"/>
            <family val="2"/>
          </rPr>
          <t>Unit price of each part from this distributor.
Green -&gt; lowest price across distributors.</t>
        </r>
      </text>
    </comment>
    <comment ref="K6" authorId="0">
      <text>
        <r>
          <rPr>
            <sz val="8"/>
            <color indexed="81"/>
            <rFont val="Tahoma"/>
            <family val="2"/>
          </rPr>
          <t>Minimum Order Quantity. You must buy at least this ammount of components.</t>
        </r>
      </text>
    </comment>
    <comment ref="L6" authorId="0">
      <text>
        <r>
          <rPr>
            <sz val="8"/>
            <color indexed="81"/>
            <rFont val="Tahoma"/>
            <family val="2"/>
          </rPr>
          <t>(Unit Price) x (Purchase Qty) of each part from this distributor.
Red -&gt; Next price break is cheaper.
Green -&gt; Cheapest supplier.</t>
        </r>
      </text>
    </comment>
    <comment ref="M6" authorId="0">
      <text>
        <r>
          <rPr>
            <sz val="8"/>
            <color indexed="81"/>
            <rFont val="Tahoma"/>
            <family val="2"/>
          </rPr>
          <t>Distributor-assigned catalog number for each part and link to it's web page (ctrl-click). Extra distributor data is shown as comment.</t>
        </r>
      </text>
    </comment>
    <comment ref="H7" authorId="0">
      <text>
        <r>
          <rPr>
            <sz val="8"/>
            <color indexed="81"/>
            <rFont val="Tahoma"/>
            <family val="2"/>
          </rPr>
          <t>6 In Stock</t>
        </r>
      </text>
    </comment>
    <comment ref="J7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$81.03     $81.03
    10  $73.88    $738.80
    25  $67.32  $1,683.00
    50  $67.31  $3,365.50</t>
        </r>
      </text>
    </comment>
    <comment ref="M7" authorId="0">
      <text>
        <r>
          <rPr>
            <sz val="8"/>
            <color indexed="81"/>
            <rFont val="Tahoma"/>
            <family val="2"/>
          </rPr>
          <t>Desc: AC Power Cords RETRACTILE POWER CRD 2FT (.61m) BLACK</t>
        </r>
      </text>
    </comment>
    <comment ref="H8" authorId="0">
      <text>
        <r>
          <rPr>
            <sz val="8"/>
            <color indexed="81"/>
            <rFont val="Tahoma"/>
            <family val="2"/>
          </rPr>
          <t>241 In Stock</t>
        </r>
      </text>
    </comment>
    <comment ref="J8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$7.30      $7.30
    30   $7.29    $218.70
   255   $6.74  $1,718.70</t>
        </r>
      </text>
    </comment>
    <comment ref="M8" authorId="0">
      <text>
        <r>
          <rPr>
            <sz val="8"/>
            <color indexed="81"/>
            <rFont val="Tahoma"/>
            <family val="2"/>
          </rPr>
          <t>Desc: Switch Hardware BACK-OF-PANEL PB CLEAR</t>
        </r>
      </text>
    </comment>
    <comment ref="H9" authorId="0">
      <text>
        <r>
          <rPr>
            <sz val="8"/>
            <color indexed="81"/>
            <rFont val="Tahoma"/>
            <family val="2"/>
          </rPr>
          <t>198 In Stock</t>
        </r>
      </text>
    </comment>
    <comment ref="J9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$3.45      $3.45
    10   $3.10     $31.00
    25   $2.98     $74.50
   100   $2.93    $293.00
   250   $2.86    $715.00
   500   $2.78  $1,390.00
  1000   $2.69  $2,690.00</t>
        </r>
      </text>
    </comment>
    <comment ref="M9" authorId="0">
      <text>
        <r>
          <rPr>
            <sz val="8"/>
            <color indexed="81"/>
            <rFont val="Tahoma"/>
            <family val="2"/>
          </rPr>
          <t>Desc: Switch Hardware SILICONETOGGLE SWITCH BOOT-GRAY</t>
        </r>
      </text>
    </comment>
    <comment ref="H10" authorId="0">
      <text>
        <r>
          <rPr>
            <sz val="8"/>
            <color indexed="81"/>
            <rFont val="Tahoma"/>
            <family val="2"/>
          </rPr>
          <t>603 In Stock</t>
        </r>
      </text>
    </comment>
    <comment ref="J10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$2.46      $2.46
    10   $1.81     $18.10
   100   $1.39    $139.00
   500   $1.26    $630.00
  1000   $0.97    $972.00</t>
        </r>
      </text>
    </comment>
    <comment ref="M10" authorId="0">
      <text>
        <r>
          <rPr>
            <sz val="8"/>
            <color indexed="81"/>
            <rFont val="Tahoma"/>
            <family val="2"/>
          </rPr>
          <t>Desc: Lamps T-3/4 INCND WIRE TERM LP</t>
        </r>
      </text>
    </comment>
    <comment ref="H11" authorId="0">
      <text>
        <r>
          <rPr>
            <sz val="8"/>
            <color indexed="81"/>
            <rFont val="Tahoma"/>
            <family val="2"/>
          </rPr>
          <t>None</t>
        </r>
      </text>
    </comment>
    <comment ref="M11" authorId="0">
      <text>
        <r>
          <rPr>
            <sz val="8"/>
            <color indexed="81"/>
            <rFont val="Tahoma"/>
            <family val="2"/>
          </rPr>
          <t>Desc: Disconnect Switches BP158 ZINCV</t>
        </r>
      </text>
    </comment>
    <comment ref="H12" authorId="0">
      <text>
        <r>
          <rPr>
            <sz val="8"/>
            <color indexed="81"/>
            <rFont val="Tahoma"/>
            <family val="2"/>
          </rPr>
          <t>This part is listed but is not stocked.</t>
        </r>
      </text>
    </comment>
    <comment ref="J12" authorId="0">
      <text>
        <r>
          <rPr>
            <sz val="8"/>
            <color indexed="81"/>
            <rFont val="Tahoma"/>
            <family val="2"/>
          </rPr>
          <t>Qty/Price Breaks (USD):
  Qty  -  Unit$  -  Ext$
================
     1   $3.75      $3.75
    10   $2.29     $22.90
    20   $2.12     $42.40
    50   $2.00    $100.00
   100   $1.75    $175.00
   200   $1.50    $300.00
   500   $1.30    $650.00
  1000   $1.22  $1,220.00
  2000   $1.18  $2,360.00</t>
        </r>
      </text>
    </comment>
    <comment ref="M12" authorId="0">
      <text>
        <r>
          <rPr>
            <sz val="8"/>
            <color indexed="81"/>
            <rFont val="Tahoma"/>
            <family val="2"/>
          </rPr>
          <t>Desc: Wirewound Resistors - Through Hole 3watts 5ohms 5% Rated to 3.75watts</t>
        </r>
      </text>
    </comment>
    <comment ref="F14" authorId="0">
      <text>
        <r>
          <rPr>
            <sz val="8"/>
            <color indexed="81"/>
            <rFont val="Tahoma"/>
            <family val="2"/>
          </rPr>
          <t>This is the total of your cart across all distributors.</t>
        </r>
      </text>
    </comment>
    <comment ref="I14" authorId="0">
      <text>
        <r>
          <rPr>
            <sz val="8"/>
            <color indexed="81"/>
            <rFont val="Tahoma"/>
            <family val="2"/>
          </rPr>
          <t>Copy the information below to the BOM import page of the distributor web site.</t>
        </r>
      </text>
    </comment>
    <comment ref="F15" authorId="0">
      <text>
        <r>
          <rPr>
            <sz val="8"/>
            <color indexed="81"/>
            <rFont val="Tahoma"/>
            <family val="2"/>
          </rPr>
          <t>This description will be added to all purchased parts label and may be used to distinguish the component of different projects.</t>
        </r>
      </text>
    </comment>
  </commentList>
</comments>
</file>

<file path=xl/sharedStrings.xml><?xml version="1.0" encoding="utf-8"?>
<sst xmlns="http://schemas.openxmlformats.org/spreadsheetml/2006/main" count="67" uniqueCount="47">
  <si>
    <t>Global Part Info</t>
  </si>
  <si>
    <t>Refs</t>
  </si>
  <si>
    <t>Value</t>
  </si>
  <si>
    <t>Footprint</t>
  </si>
  <si>
    <t>Manf#</t>
  </si>
  <si>
    <t>Qty</t>
  </si>
  <si>
    <t>Unit$</t>
  </si>
  <si>
    <t>Ext$</t>
  </si>
  <si>
    <t>100n</t>
  </si>
  <si>
    <t>???</t>
  </si>
  <si>
    <t>10</t>
  </si>
  <si>
    <t>10n,1k0,1M0,39k</t>
  </si>
  <si>
    <t>4</t>
  </si>
  <si>
    <t>10u,100u,1,6,12,TLE2426xD</t>
  </si>
  <si>
    <t>1</t>
  </si>
  <si>
    <t>22n,1u0,22p,16,100,330,100k,B1k</t>
  </si>
  <si>
    <t>2</t>
  </si>
  <si>
    <t>NSL32</t>
  </si>
  <si>
    <t>6</t>
  </si>
  <si>
    <t>OPA1688IDR</t>
  </si>
  <si>
    <t>5</t>
  </si>
  <si>
    <t>Mouser</t>
  </si>
  <si>
    <t>Avail</t>
  </si>
  <si>
    <t>Purch</t>
  </si>
  <si>
    <t>MOQ</t>
  </si>
  <si>
    <t>Cat#</t>
  </si>
  <si>
    <t>686-6491</t>
  </si>
  <si>
    <t>608-3050</t>
  </si>
  <si>
    <t>608-N5030L</t>
  </si>
  <si>
    <t>606-2</t>
  </si>
  <si>
    <t>996-V3</t>
  </si>
  <si>
    <t>NonStk</t>
  </si>
  <si>
    <t>71-CW2B-5.0</t>
  </si>
  <si>
    <t>Buy here</t>
  </si>
  <si>
    <t>Total Purchase:</t>
  </si>
  <si>
    <t>Purchase description:</t>
  </si>
  <si>
    <t>Prj:</t>
  </si>
  <si>
    <t>Input_Board.csv</t>
  </si>
  <si>
    <t>Co.:</t>
  </si>
  <si>
    <t>Prj date:</t>
  </si>
  <si>
    <t>2025-04-25 12:11:27 (file)</t>
  </si>
  <si>
    <t>Board Qty:</t>
  </si>
  <si>
    <t>Total Cost:</t>
  </si>
  <si>
    <t>Unit Cost:</t>
  </si>
  <si>
    <t>$ date:</t>
  </si>
  <si>
    <t>2025-04-25 12:25:33</t>
  </si>
  <si>
    <t>KiCost® v1.1.20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</si>
</sst>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$#,##0.000"/>
  </numFmts>
  <fonts count="11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"/>
      <color rgb="FF008000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09090"/>
      <name val="Calibri"/>
      <family val="2"/>
      <scheme val="minor"/>
    </font>
    <font>
      <u/>
      <sz val="11"/>
      <color theme="10"/>
      <name val="Calibri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  <fill>
      <patternFill patternType="solid">
        <fgColor rgb="FF004A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top" wrapText="1"/>
    </xf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1" applyAlignment="1" applyProtection="1"/>
    <xf numFmtId="0" fontId="0" fillId="0" borderId="0" xfId="0" applyAlignment="1">
      <alignment horizontal="right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4">
    <dxf>
      <font>
        <color rgb="FF000000"/>
      </font>
      <fill>
        <patternFill>
          <bgColor rgb="FFFF9900"/>
        </patternFill>
      </fill>
    </dxf>
    <dxf>
      <font>
        <color rgb="FFFFFFFF"/>
      </font>
      <fill>
        <patternFill>
          <bgColor rgb="FFFF0000"/>
        </patternFill>
      </fill>
    </dxf>
    <dxf>
      <fill>
        <patternFill>
          <bgColor rgb="FFAAAAAA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ouser.com/datasheet/2/429/6491-253247.pdf" TargetMode="External"/><Relationship Id="rId2" Type="http://schemas.openxmlformats.org/officeDocument/2006/relationships/hyperlink" Target="https://www.mouser.com/ProductDetail/Volex/6491?qs=xe2nB47gai3YGlGbKMUbyw%3D%3D" TargetMode="External"/><Relationship Id="rId3" Type="http://schemas.openxmlformats.org/officeDocument/2006/relationships/hyperlink" Target="https://www.mouser.com/ProductDetail/APM-HEXSEAL/3050?qs=UXD9%2FX9wezy9rlLA%2FdRxeA%3D%3D" TargetMode="External"/><Relationship Id="rId4" Type="http://schemas.openxmlformats.org/officeDocument/2006/relationships/hyperlink" Target="https://www.mouser.com/ProductDetail/APM-HEXSEAL/N5030L?qs=IDj0%2FmHVFfa4gmqidWTjUQ%3D%3D" TargetMode="External"/><Relationship Id="rId5" Type="http://schemas.openxmlformats.org/officeDocument/2006/relationships/hyperlink" Target="https://www.mouser.com/ProductDetail/VCC/2?qs=GLfira415aAithIl8gFvgw%3D%3D" TargetMode="External"/><Relationship Id="rId6" Type="http://schemas.openxmlformats.org/officeDocument/2006/relationships/hyperlink" Target="https://www.mouser.com/ProductDetail/Schneider-Electric/V3?qs=17u8i%2FzlE8%2FLT6H1ETGIbg%3D%3D" TargetMode="External"/><Relationship Id="rId7" Type="http://schemas.openxmlformats.org/officeDocument/2006/relationships/hyperlink" Target="https://www.mouser.com/ProductDetail/Vishay-Dale/CW02B5R000JB12?qs=sk1ih7Iq%2FM7%252Bn8tFQB%252Bm8A%3D%3D" TargetMode="External"/><Relationship Id="rId8" Type="http://schemas.openxmlformats.org/officeDocument/2006/relationships/hyperlink" Target="https://mouser.com/bom/" TargetMode="External"/><Relationship Id="rId9" Type="http://schemas.openxmlformats.org/officeDocument/2006/relationships/vmlDrawing" Target="../drawings/vmlDrawing1.vml"/><Relationship Id="rId10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defaultRowHeight="15" outlineLevelCol="3"/>
  <cols>
    <col min="1" max="1" width="32.7109375" customWidth="1"/>
    <col min="3" max="3" width="12.7109375" customWidth="1" outlineLevel="2"/>
    <col min="4" max="5" width="9.140625" outlineLevel="1"/>
    <col min="6" max="6" width="22.7109375" customWidth="1"/>
    <col min="7" max="7" width="16.7109375" customWidth="1"/>
    <col min="8" max="8" width="9.7109375" customWidth="1" outlineLevel="1"/>
    <col min="9" max="9" width="9.140625" outlineLevel="2"/>
    <col min="10" max="10" width="10.7109375" customWidth="1" outlineLevel="2"/>
    <col min="11" max="11" width="0" hidden="1" customWidth="1" outlineLevel="3" collapsed="1"/>
    <col min="12" max="12" width="16.7109375" customWidth="1"/>
    <col min="13" max="13" width="16.7109375" customWidth="1" outlineLevel="2"/>
  </cols>
  <sheetData>
    <row r="1" spans="1:13">
      <c r="A1" s="1" t="s">
        <v>36</v>
      </c>
      <c r="B1" s="2" t="s">
        <v>37</v>
      </c>
      <c r="F1" s="3" t="s">
        <v>41</v>
      </c>
      <c r="G1" s="3">
        <v>100</v>
      </c>
    </row>
    <row r="2" spans="1:13">
      <c r="A2" s="1" t="s">
        <v>38</v>
      </c>
      <c r="B2" s="2"/>
      <c r="F2" s="1" t="s">
        <v>43</v>
      </c>
      <c r="G2" s="4">
        <f>TotalCost/BoardQty</f>
        <v>122.78</v>
      </c>
    </row>
    <row r="3" spans="1:13">
      <c r="A3" s="1" t="s">
        <v>39</v>
      </c>
      <c r="B3" s="2" t="s">
        <v>40</v>
      </c>
      <c r="F3" s="1" t="s">
        <v>42</v>
      </c>
      <c r="G3" s="5">
        <f>SUM(G7:G12)</f>
        <v>12278.0</v>
      </c>
      <c r="L3" s="5">
        <f>SUM(L7:L12)</f>
        <v>12278.0</v>
      </c>
      <c r="M3" s="6" t="str">
        <f>(COUNTA(L7:L12)&amp;" of "&amp;ROWS(L7:L12)&amp;" parts found")</f>
        <v>5 of 6 parts found</v>
      </c>
    </row>
    <row r="4" spans="1:13">
      <c r="A4" s="1" t="s">
        <v>44</v>
      </c>
      <c r="B4" s="2" t="s">
        <v>45</v>
      </c>
    </row>
    <row r="5" spans="1:13">
      <c r="A5" s="7" t="s">
        <v>0</v>
      </c>
      <c r="B5" s="7"/>
      <c r="C5" s="7"/>
      <c r="D5" s="7"/>
      <c r="E5" s="7"/>
      <c r="F5" s="7"/>
      <c r="G5" s="7"/>
      <c r="H5" s="8" t="s">
        <v>21</v>
      </c>
      <c r="I5" s="8"/>
      <c r="J5" s="8"/>
      <c r="K5" s="8"/>
      <c r="L5" s="8"/>
      <c r="M5" s="8"/>
    </row>
    <row r="6" spans="1:13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9" t="s">
        <v>22</v>
      </c>
      <c r="I6" s="9" t="s">
        <v>23</v>
      </c>
      <c r="J6" s="9" t="s">
        <v>6</v>
      </c>
      <c r="K6" s="9" t="s">
        <v>24</v>
      </c>
      <c r="L6" s="9" t="s">
        <v>7</v>
      </c>
      <c r="M6" s="9" t="s">
        <v>25</v>
      </c>
    </row>
    <row r="7" spans="1:13">
      <c r="A7" s="10" t="s">
        <v>8</v>
      </c>
      <c r="B7" s="10" t="s">
        <v>9</v>
      </c>
      <c r="C7" s="10" t="s">
        <v>9</v>
      </c>
      <c r="D7" s="10" t="s">
        <v>10</v>
      </c>
      <c r="E7" s="10">
        <f>CEILING(BoardQty*1.0,1)</f>
        <v>100</v>
      </c>
      <c r="F7" s="11">
        <f>IF(MIN(J7)&lt;&gt;0,MIN(J7),"")</f>
        <v>67.31</v>
      </c>
      <c r="G7" s="12">
        <f>IF(AND(ISNUMBER(E7),ISNUMBER(F7)),E7*F7,"")</f>
        <v>6731.0</v>
      </c>
      <c r="H7" s="10">
        <v>6</v>
      </c>
      <c r="I7" s="10"/>
      <c r="J7" s="11">
        <f>IFERROR(IF(OR(I7&gt;=K7,E7&gt;=K7),LOOKUP(IF(I7="",E7,I7),{0,1,10,25,50},{0.0,81.03,73.88,67.32,67.31}),"MOQ="&amp;K7),"")</f>
        <v>67.31</v>
      </c>
      <c r="K7" s="10">
        <v>1</v>
      </c>
      <c r="L7" s="12">
        <f>IFERROR(IF(I7="",E7,I7)*J7,"")</f>
        <v>6731.0</v>
      </c>
      <c r="M7" s="10" t="s">
        <v>26</v>
      </c>
    </row>
    <row r="8" spans="1:13">
      <c r="A8" s="10" t="s">
        <v>11</v>
      </c>
      <c r="B8" s="10" t="s">
        <v>9</v>
      </c>
      <c r="C8" s="10" t="s">
        <v>9</v>
      </c>
      <c r="D8" s="10" t="s">
        <v>12</v>
      </c>
      <c r="E8" s="10">
        <f>CEILING(BoardQty*4.0,1)</f>
        <v>400</v>
      </c>
      <c r="F8" s="11">
        <f>IF(MIN(J8)&lt;&gt;0,MIN(J8),"")</f>
        <v>6.74</v>
      </c>
      <c r="G8" s="12">
        <f>IF(AND(ISNUMBER(E8),ISNUMBER(F8)),E8*F8,"")</f>
        <v>2696.0</v>
      </c>
      <c r="H8" s="10">
        <v>241</v>
      </c>
      <c r="I8" s="10"/>
      <c r="J8" s="11">
        <f>IFERROR(IF(OR(I8&gt;=K8,E8&gt;=K8),LOOKUP(IF(I8="",E8,I8),{0,1,30,255},{0.0,7.3,7.29,6.74}),"MOQ="&amp;K8),"")</f>
        <v>6.74</v>
      </c>
      <c r="K8" s="10">
        <v>1</v>
      </c>
      <c r="L8" s="12">
        <f>IFERROR(IF(I8="",E8,I8)*J8,"")</f>
        <v>2696.0</v>
      </c>
      <c r="M8" s="10" t="s">
        <v>27</v>
      </c>
    </row>
    <row r="9" spans="1:13">
      <c r="A9" s="10" t="s">
        <v>13</v>
      </c>
      <c r="B9" s="10" t="s">
        <v>9</v>
      </c>
      <c r="C9" s="10" t="s">
        <v>9</v>
      </c>
      <c r="D9" s="10" t="s">
        <v>14</v>
      </c>
      <c r="E9" s="10">
        <f>CEILING(BoardQty*6.0,1)</f>
        <v>600</v>
      </c>
      <c r="F9" s="11">
        <f>IF(MIN(J9)&lt;&gt;0,MIN(J9),"")</f>
        <v>2.78</v>
      </c>
      <c r="G9" s="12">
        <f>IF(AND(ISNUMBER(E9),ISNUMBER(F9)),E9*F9,"")</f>
        <v>1668.0</v>
      </c>
      <c r="H9" s="10">
        <v>198</v>
      </c>
      <c r="I9" s="10"/>
      <c r="J9" s="11">
        <f>IFERROR(IF(OR(I9&gt;=K9,E9&gt;=K9),LOOKUP(IF(I9="",E9,I9),{0,1,10,25,100,250,500,1000},{0.0,3.45,3.1,2.98,2.93,2.86,2.78,2.69}),"MOQ="&amp;K9),"")</f>
        <v>2.78</v>
      </c>
      <c r="K9" s="10">
        <v>1</v>
      </c>
      <c r="L9" s="12">
        <f>IFERROR(IF(I9="",E9,I9)*J9,"")</f>
        <v>1668.0</v>
      </c>
      <c r="M9" s="10" t="s">
        <v>28</v>
      </c>
    </row>
    <row r="10" spans="1:13">
      <c r="A10" s="10" t="s">
        <v>15</v>
      </c>
      <c r="B10" s="10" t="s">
        <v>9</v>
      </c>
      <c r="C10" s="10" t="s">
        <v>9</v>
      </c>
      <c r="D10" s="10" t="s">
        <v>16</v>
      </c>
      <c r="E10" s="10">
        <f>CEILING(BoardQty*8.0,1)</f>
        <v>800</v>
      </c>
      <c r="F10" s="11">
        <f>IF(MIN(J10)&lt;&gt;0,MIN(J10),"")</f>
        <v>1.26</v>
      </c>
      <c r="G10" s="12">
        <f>IF(AND(ISNUMBER(E10),ISNUMBER(F10)),E10*F10,"")</f>
        <v>1008.0</v>
      </c>
      <c r="H10" s="10">
        <v>603</v>
      </c>
      <c r="I10" s="10"/>
      <c r="J10" s="11">
        <f>IFERROR(IF(OR(I10&gt;=K10,E10&gt;=K10),LOOKUP(IF(I10="",E10,I10),{0,1,10,100,500,1000},{0.0,2.46,1.81,1.39,1.26,0.972}),"MOQ="&amp;K10),"")</f>
        <v>1.26</v>
      </c>
      <c r="K10" s="10">
        <v>1</v>
      </c>
      <c r="L10" s="12">
        <f>IFERROR(IF(I10="",E10,I10)*J10,"")</f>
        <v>1008.0</v>
      </c>
      <c r="M10" s="10" t="s">
        <v>29</v>
      </c>
    </row>
    <row r="11" spans="1:13">
      <c r="A11" s="10" t="s">
        <v>17</v>
      </c>
      <c r="B11" s="10" t="s">
        <v>9</v>
      </c>
      <c r="C11" s="10" t="s">
        <v>9</v>
      </c>
      <c r="D11" s="10" t="s">
        <v>18</v>
      </c>
      <c r="E11" s="10">
        <f>CEILING(BoardQty*1.0,1)</f>
        <v>100</v>
      </c>
      <c r="F11" s="11">
        <f>IF(MIN(J11)&lt;&gt;0,MIN(J11),"")</f>
        <v/>
      </c>
      <c r="G11" s="12">
        <f>IF(AND(ISNUMBER(E11),ISNUMBER(F11)),E11*F11,"")</f>
        <v/>
      </c>
      <c r="H11" s="13" t="s">
        <v>31</v>
      </c>
      <c r="I11" s="10"/>
      <c r="M11" s="10" t="s">
        <v>30</v>
      </c>
    </row>
    <row r="12" spans="1:13">
      <c r="A12" s="10" t="s">
        <v>19</v>
      </c>
      <c r="B12" s="10" t="s">
        <v>9</v>
      </c>
      <c r="C12" s="10" t="s">
        <v>9</v>
      </c>
      <c r="D12" s="10" t="s">
        <v>20</v>
      </c>
      <c r="E12" s="10">
        <f>CEILING(BoardQty*1.0,1)</f>
        <v>100</v>
      </c>
      <c r="F12" s="11">
        <f>IF(MIN(J12)&lt;&gt;0,MIN(J12),"")</f>
        <v>1.75</v>
      </c>
      <c r="G12" s="12">
        <f>IF(AND(ISNUMBER(E12),ISNUMBER(F12)),E12*F12,"")</f>
        <v>175.0</v>
      </c>
      <c r="H12" s="13" t="s">
        <v>31</v>
      </c>
      <c r="I12" s="10"/>
      <c r="J12" s="11">
        <f>IFERROR(IF(OR(I12&gt;=K12,E12&gt;=K12),LOOKUP(IF(I12="",E12,I12),{0,1,10,20,50,100,200,500,1000,2000},{0.0,3.75,2.29,2.12,2.0,1.75,1.5,1.3,1.22,1.18}),"MOQ="&amp;K12),"")</f>
        <v>1.75</v>
      </c>
      <c r="K12" s="10">
        <v>1</v>
      </c>
      <c r="L12" s="12">
        <f>IFERROR(IF(I12="",E12,I12)*J12,"")</f>
        <v>175.0</v>
      </c>
      <c r="M12" s="10" t="s">
        <v>32</v>
      </c>
    </row>
    <row r="14" spans="1:13">
      <c r="F14" s="1" t="s">
        <v>34</v>
      </c>
      <c r="G14" s="5">
        <f>SUM(L14)</f>
        <v>0</v>
      </c>
      <c r="H14" s="14" t="s">
        <v>33</v>
      </c>
      <c r="I14" s="6">
        <f>IFERROR(IF(COUNTIF(I7:I12,"&gt;0")&gt;0,COUNTIF(I7:I12,"&gt;0")&amp;" of "&amp;(ROWS(K7:K12)-COUNTBLANK(K7:K12))&amp;" parts purchased",""),"")</f>
        <v/>
      </c>
      <c r="L14" s="5">
        <f>SUMIF(I7:I12,"&gt;0",L7:L12)</f>
        <v>0</v>
      </c>
    </row>
    <row r="15" spans="1:13">
      <c r="A15" s="2" t="s">
        <v>46</v>
      </c>
      <c r="F15" s="15" t="s">
        <v>35</v>
      </c>
      <c r="I15" s="16">
        <f>CONCATENATE(I22,I23,I24,I25,I26,I27)</f>
        <v/>
      </c>
    </row>
    <row r="22" spans="9:9" ht="30" hidden="1" customHeight="1">
      <c r="I22" t="str">
        <f t="array" ref="I22:I27">IF(ISNUMBER(I7:I12)*(I7:I12&gt;=K7:K12)*(M7:M12&lt;&gt;""),M7:M12&amp;"|"&amp;TEXT(ROUNDUP(I7:I12/IF(ISNUMBER(K7:K12),K7:K12,1),0)*K7:K12,"##0")&amp;"|"&amp;SUBSTITUTE(SUBSTITUTE(SUBSTITUTE(IF(PURCHASE_DESCRIPTION&lt;&gt;"",PURCHASE_DESCRIPTION&amp;":","")&amp;A7:A12,"|",";")," ","_"),"
","_")&amp;CHAR(10),"")</f>
        <v/>
      </c>
    </row>
    <row r="23" spans="9:9" ht="30" hidden="1" customHeight="1">
      <c r="I23">
        <v>0</v>
      </c>
    </row>
    <row r="24" spans="9:9" ht="30" hidden="1" customHeight="1">
      <c r="I24">
        <v>0</v>
      </c>
    </row>
    <row r="25" spans="9:9" ht="30" hidden="1" customHeight="1">
      <c r="I25">
        <v>0</v>
      </c>
    </row>
    <row r="26" spans="9:9" ht="30" hidden="1" customHeight="1">
      <c r="I26">
        <v>0</v>
      </c>
    </row>
    <row r="27" spans="9:9" ht="30" hidden="1" customHeight="1">
      <c r="I27">
        <v>0</v>
      </c>
    </row>
  </sheetData>
  <mergeCells count="3">
    <mergeCell ref="A5:G5"/>
    <mergeCell ref="H5:M5"/>
    <mergeCell ref="I15:L21"/>
  </mergeCells>
  <conditionalFormatting sqref="E10">
    <cfRule type="expression" dxfId="2" priority="23">
      <formula>AND(ISBLANK(D10),ISBLANK(L10))</formula>
    </cfRule>
    <cfRule type="expression" dxfId="1" priority="24">
      <formula>IF(SUM(H10)=0,1,0)</formula>
    </cfRule>
    <cfRule type="cellIs" dxfId="0" priority="25" operator="greaterThan">
      <formula>SUM(H10)</formula>
    </cfRule>
    <cfRule type="cellIs" dxfId="3" priority="26" operator="greaterThan">
      <formula>SUM(IF(ISNUMBER(J10),I10,0))</formula>
    </cfRule>
  </conditionalFormatting>
  <conditionalFormatting sqref="E11">
    <cfRule type="expression" dxfId="2" priority="27">
      <formula>AND(ISBLANK(D11),ISBLANK(L11))</formula>
    </cfRule>
    <cfRule type="expression" dxfId="1" priority="28">
      <formula>IF(SUM(H11)=0,1,0)</formula>
    </cfRule>
    <cfRule type="cellIs" dxfId="0" priority="29" operator="greaterThan">
      <formula>SUM(H11)</formula>
    </cfRule>
    <cfRule type="cellIs" dxfId="3" priority="30" operator="greaterThan">
      <formula>SUM(IF(ISNUMBER(J11),I11,0))</formula>
    </cfRule>
  </conditionalFormatting>
  <conditionalFormatting sqref="E12">
    <cfRule type="expression" dxfId="2" priority="31">
      <formula>AND(ISBLANK(D12),ISBLANK(L12))</formula>
    </cfRule>
    <cfRule type="expression" dxfId="1" priority="32">
      <formula>IF(SUM(H12)=0,1,0)</formula>
    </cfRule>
    <cfRule type="cellIs" dxfId="0" priority="33" operator="greaterThan">
      <formula>SUM(H12)</formula>
    </cfRule>
    <cfRule type="cellIs" dxfId="3" priority="34" operator="greaterThan">
      <formula>SUM(IF(ISNUMBER(J12),I12,0))</formula>
    </cfRule>
  </conditionalFormatting>
  <conditionalFormatting sqref="E7">
    <cfRule type="expression" dxfId="2" priority="11">
      <formula>AND(ISBLANK(D7),ISBLANK(L7))</formula>
    </cfRule>
    <cfRule type="expression" dxfId="1" priority="12">
      <formula>IF(SUM(H7)=0,1,0)</formula>
    </cfRule>
    <cfRule type="cellIs" dxfId="0" priority="13" operator="greaterThan">
      <formula>SUM(H7)</formula>
    </cfRule>
    <cfRule type="cellIs" dxfId="3" priority="14" operator="greaterThan">
      <formula>SUM(IF(ISNUMBER(J7),I7,0))</formula>
    </cfRule>
  </conditionalFormatting>
  <conditionalFormatting sqref="E8">
    <cfRule type="expression" dxfId="2" priority="15">
      <formula>AND(ISBLANK(D8),ISBLANK(L8))</formula>
    </cfRule>
    <cfRule type="expression" dxfId="1" priority="16">
      <formula>IF(SUM(H8)=0,1,0)</formula>
    </cfRule>
    <cfRule type="cellIs" dxfId="0" priority="17" operator="greaterThan">
      <formula>SUM(H8)</formula>
    </cfRule>
    <cfRule type="cellIs" dxfId="3" priority="18" operator="greaterThan">
      <formula>SUM(IF(ISNUMBER(J8),I8,0))</formula>
    </cfRule>
  </conditionalFormatting>
  <conditionalFormatting sqref="E9">
    <cfRule type="expression" dxfId="2" priority="19">
      <formula>AND(ISBLANK(D9),ISBLANK(L9))</formula>
    </cfRule>
    <cfRule type="expression" dxfId="1" priority="20">
      <formula>IF(SUM(H9)=0,1,0)</formula>
    </cfRule>
    <cfRule type="cellIs" dxfId="0" priority="21" operator="greaterThan">
      <formula>SUM(H9)</formula>
    </cfRule>
    <cfRule type="cellIs" dxfId="3" priority="22" operator="greaterThan">
      <formula>SUM(IF(ISNUMBER(J9),I9,0))</formula>
    </cfRule>
  </conditionalFormatting>
  <conditionalFormatting sqref="H10">
    <cfRule type="cellIs" dxfId="0" priority="7" operator="lessThan">
      <formula>E10</formula>
    </cfRule>
  </conditionalFormatting>
  <conditionalFormatting sqref="H12">
    <cfRule type="cellIs" dxfId="0" priority="9" operator="lessThan">
      <formula>E12</formula>
    </cfRule>
  </conditionalFormatting>
  <conditionalFormatting sqref="H7">
    <cfRule type="cellIs" dxfId="0" priority="1" operator="lessThan">
      <formula>E7</formula>
    </cfRule>
  </conditionalFormatting>
  <conditionalFormatting sqref="H8">
    <cfRule type="cellIs" dxfId="0" priority="3" operator="lessThan">
      <formula>E8</formula>
    </cfRule>
  </conditionalFormatting>
  <conditionalFormatting sqref="H9">
    <cfRule type="cellIs" dxfId="0" priority="5" operator="lessThan">
      <formula>E9</formula>
    </cfRule>
  </conditionalFormatting>
  <conditionalFormatting sqref="I10">
    <cfRule type="expression" dxfId="1" priority="8">
      <formula>AND(NOT(ISBLANK(I10)),OR(H10="NonStk",I10&gt;H10))</formula>
    </cfRule>
  </conditionalFormatting>
  <conditionalFormatting sqref="I12">
    <cfRule type="expression" dxfId="1" priority="10">
      <formula>AND(NOT(ISBLANK(I12)),OR(H12="NonStk",I12&gt;H12))</formula>
    </cfRule>
  </conditionalFormatting>
  <conditionalFormatting sqref="I7">
    <cfRule type="expression" dxfId="1" priority="2">
      <formula>AND(NOT(ISBLANK(I7)),OR(H7="NonStk",I7&gt;H7))</formula>
    </cfRule>
  </conditionalFormatting>
  <conditionalFormatting sqref="I8">
    <cfRule type="expression" dxfId="1" priority="4">
      <formula>AND(NOT(ISBLANK(I8)),OR(H8="NonStk",I8&gt;H8))</formula>
    </cfRule>
  </conditionalFormatting>
  <conditionalFormatting sqref="I9">
    <cfRule type="expression" dxfId="1" priority="6">
      <formula>AND(NOT(ISBLANK(I9)),OR(H9="NonStk",I9&gt;H9))</formula>
    </cfRule>
  </conditionalFormatting>
  <hyperlinks>
    <hyperlink ref="D7" r:id="rId1"/>
    <hyperlink ref="M7" r:id="rId2"/>
    <hyperlink ref="M8" r:id="rId3"/>
    <hyperlink ref="M9" r:id="rId4"/>
    <hyperlink ref="M10" r:id="rId5"/>
    <hyperlink ref="M11" r:id="rId6"/>
    <hyperlink ref="M12" r:id="rId7"/>
    <hyperlink ref="H14" r:id="rId8"/>
  </hyperlinks>
  <pageMargins left="0.7" right="0.7" top="0.75" bottom="0.75" header="0.3" footer="0.3"/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Input_Board</vt:lpstr>
      <vt:lpstr>'Input_Board'!BoardQty</vt:lpstr>
      <vt:lpstr>'Input_Board'!PURCHASE_DESCRIPTION</vt:lpstr>
      <vt:lpstr>'Input_Board'!TotalCost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2025-04-25T19:25:33Z</dcterms:created>
  <dcterms:modified xsi:type="dcterms:W3CDTF">2025-04-25T19:25:33Z</dcterms:modified>
</cp:coreProperties>
</file>
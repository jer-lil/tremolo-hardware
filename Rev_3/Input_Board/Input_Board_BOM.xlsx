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Board_BOM" sheetId="1" r:id="rId1"/>
  </sheets>
  <definedNames>
    <definedName name="BoardQty" localSheetId="0">'Input_Board_BOM'!$I$1</definedName>
    <definedName name="PURCHASE_DESCRIPTION" localSheetId="0">'Input_Board_BOM'!$I$28</definedName>
    <definedName name="TotalCost" localSheetId="0">'Input_Board_BOM'!$I$3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H3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O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Description of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E6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G6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H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I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J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K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L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M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N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O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J7" authorId="0">
      <text>
        <r>
          <rPr>
            <sz val="8"/>
            <color indexed="81"/>
            <rFont val="Tahoma"/>
            <family val="2"/>
          </rPr>
          <t>2215 In Stock</t>
        </r>
      </text>
    </comment>
    <comment ref="L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$0.49      $0.49
    10   $0.25      $2.54
   100   $0.22     $21.70
   500   $0.18     $88.00
  1000   $0.15    $155.00
  5000   $0.14    $715.00
 10000   $0.13  $1,320.00
 50000   $0.12  $6,050.00</t>
        </r>
      </text>
    </comment>
    <comment ref="O7" authorId="0">
      <text>
        <r>
          <rPr>
            <sz val="8"/>
            <color indexed="81"/>
            <rFont val="Tahoma"/>
            <family val="2"/>
          </rPr>
          <t>Desc: Film Capacitors 100V .022uF 10%</t>
        </r>
      </text>
    </comment>
    <comment ref="J8" authorId="0">
      <text>
        <r>
          <rPr>
            <sz val="8"/>
            <color indexed="81"/>
            <rFont val="Tahoma"/>
            <family val="2"/>
          </rPr>
          <t>6378 In Stock</t>
        </r>
      </text>
    </comment>
    <comment ref="L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$0.54      $0.54
    10   $0.29      $2.91
   100   $0.25     $24.90
   500   $0.20    $101.50
  1000   $0.18    $178.00
  5000   $0.17    $830.00
 10000   $0.15  $1,540.00
 50000   $0.14  $7,100.00</t>
        </r>
      </text>
    </comment>
    <comment ref="O8" authorId="0">
      <text>
        <r>
          <rPr>
            <sz val="8"/>
            <color indexed="81"/>
            <rFont val="Tahoma"/>
            <family val="2"/>
          </rPr>
          <t>Desc: Film Capacitors 0.01 uF 63 VDC 5%</t>
        </r>
      </text>
    </comment>
    <comment ref="J10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$0.41      $0.41
    10   $0.19      $1.92
   100   $0.17     $17.00
   500   $0.13     $66.00
  1000   $0.10     $99.00
  2000   $0.09    $178.00
 25000   $0.09  $2,150.00
 50000   $0.08  $4,100.00</t>
        </r>
      </text>
    </comment>
    <comment ref="O10" authorId="0">
      <text>
        <r>
          <rPr>
            <sz val="8"/>
            <color indexed="81"/>
            <rFont val="Tahoma"/>
            <family val="2"/>
          </rPr>
          <t>Desc: Aluminum Electrolytic Capacitors - SMD 10uF 50V</t>
        </r>
      </text>
    </comment>
    <comment ref="J11" authorId="0">
      <text>
        <r>
          <rPr>
            <sz val="8"/>
            <color indexed="81"/>
            <rFont val="Tahoma"/>
            <family val="2"/>
          </rPr>
          <t>37333 In Stock</t>
        </r>
      </text>
    </comment>
    <comment ref="L1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$0.58      $0.58
    10   $0.31      $3.11
   100   $0.28     $27.80
   500   $0.23    $114.50
  1000   $0.19    $190.00
  2000   $0.17    $344.00
 10000   $0.17  $1,670.00
 50000   $0.15  $7,550.00</t>
        </r>
      </text>
    </comment>
    <comment ref="O11" authorId="0">
      <text>
        <r>
          <rPr>
            <sz val="8"/>
            <color indexed="81"/>
            <rFont val="Tahoma"/>
            <family val="2"/>
          </rPr>
          <t>Desc: Aluminum Electrolytic Capacitors - SMD 100uF 25V</t>
        </r>
      </text>
    </comment>
    <comment ref="J12" authorId="0">
      <text>
        <r>
          <rPr>
            <sz val="8"/>
            <color indexed="81"/>
            <rFont val="Tahoma"/>
            <family val="2"/>
          </rPr>
          <t>1417 In Stock</t>
        </r>
      </text>
    </comment>
    <comment ref="L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$1.83      $1.83
    10   $1.54     $15.40
    20   $1.46     $29.20
    50   $1.39     $69.50
   100   $1.31    $131.00
   200   $1.22    $244.00
   500   $1.17    $585.00
  1000   $1.15  $1,150.00
  2000   $1.05  $2,100.00</t>
        </r>
      </text>
    </comment>
    <comment ref="O12" authorId="0">
      <text>
        <r>
          <rPr>
            <sz val="8"/>
            <color indexed="81"/>
            <rFont val="Tahoma"/>
            <family val="2"/>
          </rPr>
          <t>Desc: Phone Connectors 1/4" PHONE SKT MONO HPCB SNAPFIT MTL NUT</t>
        </r>
      </text>
    </comment>
    <comment ref="J13" authorId="0">
      <text>
        <r>
          <rPr>
            <sz val="8"/>
            <color indexed="81"/>
            <rFont val="Tahoma"/>
            <family val="2"/>
          </rPr>
          <t>3577 In Stock</t>
        </r>
      </text>
    </comment>
    <comment ref="L13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$2.12      $2.12
    10   $1.91     $19.10
    20   $1.84     $36.80
    50   $1.75     $87.50
   100   $1.55    $155.00
   200   $1.44    $288.00
   500   $1.35    $675.00
  1000   $1.20  $1,200.00
  2000   $1.13  $2,260.00</t>
        </r>
      </text>
    </comment>
    <comment ref="O13" authorId="0">
      <text>
        <r>
          <rPr>
            <sz val="8"/>
            <color indexed="81"/>
            <rFont val="Tahoma"/>
            <family val="2"/>
          </rPr>
          <t>Desc: Phone Connectors 1/4" PHON SKT STEREO HPCB SNAPFIT MTL NU</t>
        </r>
      </text>
    </comment>
    <comment ref="J14" authorId="0">
      <text>
        <r>
          <rPr>
            <sz val="8"/>
            <color indexed="81"/>
            <rFont val="Tahoma"/>
            <family val="2"/>
          </rPr>
          <t>27412 In Stock</t>
        </r>
      </text>
    </comment>
    <comment ref="L1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$0.59      $0.59
    10   $0.42      $4.20
   100   $0.36     $36.40
   500   $0.34    $171.00
  1000   $0.31    $306.00
  1800   $0.29    $516.60
  3600   $0.27    $964.80
 23400   $0.27  $6,247.80</t>
        </r>
      </text>
    </comment>
    <comment ref="O14" authorId="0">
      <text>
        <r>
          <rPr>
            <sz val="8"/>
            <color indexed="81"/>
            <rFont val="Tahoma"/>
            <family val="2"/>
          </rPr>
          <t>Desc: FFC &amp; FPC Connectors F32R-1A7H1-11016-Slider type</t>
        </r>
      </text>
    </comment>
    <comment ref="J15" authorId="0">
      <text>
        <r>
          <rPr>
            <sz val="8"/>
            <color indexed="81"/>
            <rFont val="Tahoma"/>
            <family val="2"/>
          </rPr>
          <t>17198 In Stock</t>
        </r>
      </text>
    </comment>
    <comment ref="L15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$0.45      $0.45
    10   $0.36      $3.58
   100   $0.32     $32.30
   500   $0.30    $152.00
  1000   $0.27    $271.00
  1800   $0.26    $459.00
  3600   $0.24    $864.00</t>
        </r>
      </text>
    </comment>
    <comment ref="O15" authorId="0">
      <text>
        <r>
          <rPr>
            <sz val="8"/>
            <color indexed="81"/>
            <rFont val="Tahoma"/>
            <family val="2"/>
          </rPr>
          <t>Desc: FFC &amp; FPC Connectors F32R-1A7H1-11012-Slider type</t>
        </r>
      </text>
    </comment>
    <comment ref="J16" authorId="0">
      <text>
        <r>
          <rPr>
            <sz val="8"/>
            <color indexed="81"/>
            <rFont val="Tahoma"/>
            <family val="2"/>
          </rPr>
          <t>5975 In Stock</t>
        </r>
      </text>
    </comment>
    <comment ref="L16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$3.47      $3.47
    10   $2.55     $25.50
   100   $2.00    $200.00
   500   $1.75    $875.00
  1000   $1.64  $1,640.00
  1500   $1.57  $2,355.00
  4500   $1.53  $6,885.00</t>
        </r>
      </text>
    </comment>
    <comment ref="O16" authorId="0">
      <text>
        <r>
          <rPr>
            <sz val="8"/>
            <color indexed="81"/>
            <rFont val="Tahoma"/>
            <family val="2"/>
          </rPr>
          <t>Desc: Photodiode Output Optocouplers Photocell Output Optocoupler</t>
        </r>
      </text>
    </comment>
    <comment ref="J17" authorId="0">
      <text>
        <r>
          <rPr>
            <sz val="8"/>
            <color indexed="81"/>
            <rFont val="Tahoma"/>
            <family val="2"/>
          </rPr>
          <t>16404 In Stock</t>
        </r>
      </text>
    </comment>
    <comment ref="L1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$0.15      $0.15
    10   $0.11      $1.06
    50   $0.09      $4.25
   100   $0.08      $7.60
   500   $0.06     $29.50
  1000   $0.05     $51.00
  5000   $0.03    $165.00</t>
        </r>
      </text>
    </comment>
    <comment ref="O17" authorId="0">
      <text>
        <r>
          <rPr>
            <sz val="8"/>
            <color indexed="81"/>
            <rFont val="Tahoma"/>
            <family val="2"/>
          </rPr>
          <t>Desc: Thin Film Resistors - SMD 1K OHM .1% 25PPM</t>
        </r>
      </text>
    </comment>
    <comment ref="J18" authorId="0">
      <text>
        <r>
          <rPr>
            <sz val="8"/>
            <color indexed="81"/>
            <rFont val="Tahoma"/>
            <family val="2"/>
          </rPr>
          <t>13805 In Stock</t>
        </r>
      </text>
    </comment>
    <comment ref="L1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$0.13      $0.13
    10   $0.08      $0.80
    50   $0.08      $3.85
   100   $0.07      $7.40
   500   $0.06     $28.50
  1000   $0.05     $51.00
  5000   $0.03    $155.00
 10000   $0.03    $300.00</t>
        </r>
      </text>
    </comment>
    <comment ref="O18" authorId="0">
      <text>
        <r>
          <rPr>
            <sz val="8"/>
            <color indexed="81"/>
            <rFont val="Tahoma"/>
            <family val="2"/>
          </rPr>
          <t>Desc: Thin Film Resistors - SMD 1M OHM .1% 25PPM 1/1 0W</t>
        </r>
      </text>
    </comment>
    <comment ref="J19" authorId="0">
      <text>
        <r>
          <rPr>
            <sz val="8"/>
            <color indexed="81"/>
            <rFont val="Tahoma"/>
            <family val="2"/>
          </rPr>
          <t>6158 In Stock</t>
        </r>
      </text>
    </comment>
    <comment ref="L19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$0.14      $0.14
    10   $0.10      $1.05
    50   $0.09      $4.25
   100   $0.08      $7.60
   500   $0.06     $29.50
  1000   $0.06     $55.00
  5000   $0.04    $215.00
 10000   $0.03    $320.00</t>
        </r>
      </text>
    </comment>
    <comment ref="O19" authorId="0">
      <text>
        <r>
          <rPr>
            <sz val="8"/>
            <color indexed="81"/>
            <rFont val="Tahoma"/>
            <family val="2"/>
          </rPr>
          <t>Desc: Thin Film Resistors - SMD 1/10W 39K ohm .1% 25ppm</t>
        </r>
      </text>
    </comment>
    <comment ref="J20" authorId="0">
      <text>
        <r>
          <rPr>
            <sz val="8"/>
            <color indexed="81"/>
            <rFont val="Tahoma"/>
            <family val="2"/>
          </rPr>
          <t>18755 In Stock</t>
        </r>
      </text>
    </comment>
    <comment ref="L2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$0.14      $0.14
    10   $0.09      $0.91
    50   $0.08      $4.05
   100   $0.07      $7.00
   500   $0.06     $29.50
  1000   $0.06     $56.00
  5000   $0.03    $165.00</t>
        </r>
      </text>
    </comment>
    <comment ref="O20" authorId="0">
      <text>
        <r>
          <rPr>
            <sz val="8"/>
            <color indexed="81"/>
            <rFont val="Tahoma"/>
            <family val="2"/>
          </rPr>
          <t>Desc: Thin Film Resistors - SMD 1/10W 100 ohm .1% 25ppm</t>
        </r>
      </text>
    </comment>
    <comment ref="J21" authorId="0">
      <text>
        <r>
          <rPr>
            <sz val="8"/>
            <color indexed="81"/>
            <rFont val="Tahoma"/>
            <family val="2"/>
          </rPr>
          <t>11249 In Stock</t>
        </r>
      </text>
    </comment>
    <comment ref="L21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$0.14      $0.14
    10   $0.10      $0.99
    50   $0.08      $4.10
   100   $0.07      $7.40
   500   $0.06     $28.50
  1000   $0.05     $50.00
  2000   $0.05     $94.00
  5000   $0.03    $165.00
 10000   $0.03    $320.00</t>
        </r>
      </text>
    </comment>
    <comment ref="O21" authorId="0">
      <text>
        <r>
          <rPr>
            <sz val="8"/>
            <color indexed="81"/>
            <rFont val="Tahoma"/>
            <family val="2"/>
          </rPr>
          <t>Desc: Thin Film Resistors - SMD 1/10W 330 ohm .1% 25 ppm</t>
        </r>
      </text>
    </comment>
    <comment ref="J22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2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$0.14      $0.14
    10   $0.10      $0.98
    50   $0.08      $4.15
   100   $0.07      $7.30
   500   $0.06     $28.00
  1000   $0.05     $51.00
  2000   $0.05     $96.00
  5000   $0.04    $180.00
 10000   $0.03    $320.00</t>
        </r>
      </text>
    </comment>
    <comment ref="O22" authorId="0">
      <text>
        <r>
          <rPr>
            <sz val="8"/>
            <color indexed="81"/>
            <rFont val="Tahoma"/>
            <family val="2"/>
          </rPr>
          <t>Desc: Thin Film Resistors - SMD 100K OHM .1% 25PPM</t>
        </r>
      </text>
    </comment>
    <comment ref="J23" authorId="0">
      <text>
        <r>
          <rPr>
            <sz val="8"/>
            <color indexed="81"/>
            <rFont val="Tahoma"/>
            <family val="2"/>
          </rPr>
          <t>1343 In Stock</t>
        </r>
      </text>
    </comment>
    <comment ref="L23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$0.21      $0.21
    10   $0.15      $1.55
    50   $0.12      $6.15
   100   $0.11     $11.10
   500   $0.08     $42.00
  1000   $0.08     $76.00
  2000   $0.07    $148.00
  5000   $0.06    $275.00
 10000   $0.05    $500.00</t>
        </r>
      </text>
    </comment>
    <comment ref="O23" authorId="0">
      <text>
        <r>
          <rPr>
            <sz val="8"/>
            <color indexed="81"/>
            <rFont val="Tahoma"/>
            <family val="2"/>
          </rPr>
          <t>Desc: Thin Film Resistors - SMD 1 ohm 0.1% 25 ppm Hi gh-Precision</t>
        </r>
      </text>
    </comment>
    <comment ref="J24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L24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$2.18      $2.18
    10   $2.01     $20.10
   100   $1.74    $174.00
   500   $1.55    $775.00
  1000   $1.44  $1,440.00
  2500   $1.36  $3,400.00
  5000   $1.32  $6,600.00</t>
        </r>
      </text>
    </comment>
    <comment ref="O24" authorId="0">
      <text>
        <r>
          <rPr>
            <sz val="8"/>
            <color indexed="81"/>
            <rFont val="Tahoma"/>
            <family val="2"/>
          </rPr>
          <t>Desc: Trimmer Resistors - SMD 4MM SQ 1KOHMS 10% 5TURN</t>
        </r>
      </text>
    </comment>
    <comment ref="J25" authorId="0">
      <text>
        <r>
          <rPr>
            <sz val="8"/>
            <color indexed="81"/>
            <rFont val="Tahoma"/>
            <family val="2"/>
          </rPr>
          <t>19409 In Stock</t>
        </r>
      </text>
    </comment>
    <comment ref="L25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$1.38      $1.38
    10   $1.01     $10.10
    25   $0.91     $22.70
   100   $0.81     $80.50
   250   $0.76    $189.00
   500   $0.73    $363.00
  1000   $0.69    $688.00
  2500   $0.68  $1,687.50
  7500   $0.66  $4,972.50</t>
        </r>
      </text>
    </comment>
    <comment ref="O25" authorId="0">
      <text>
        <r>
          <rPr>
            <sz val="8"/>
            <color indexed="81"/>
            <rFont val="Tahoma"/>
            <family val="2"/>
          </rPr>
          <t>Desc: Operational Amplifiers - Op Amps 36V 10MHz Low Dist ortion High Drive Ra A 595-OPA1688ID</t>
        </r>
      </text>
    </comment>
    <comment ref="H27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K27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H28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<sst xmlns="http://schemas.openxmlformats.org/spreadsheetml/2006/main" count="184" uniqueCount="142">
  <si>
    <t>Global Part Info</t>
  </si>
  <si>
    <t>Refs</t>
  </si>
  <si>
    <t>Value</t>
  </si>
  <si>
    <t>Desc</t>
  </si>
  <si>
    <t>Footprint</t>
  </si>
  <si>
    <t>Manf</t>
  </si>
  <si>
    <t>Manf#</t>
  </si>
  <si>
    <t>Qty</t>
  </si>
  <si>
    <t>Unit$</t>
  </si>
  <si>
    <t>Ext$</t>
  </si>
  <si>
    <t>C1,C2</t>
  </si>
  <si>
    <t>22n</t>
  </si>
  <si>
    <t>CAP FILM PP-M WIMA MKP2 22n</t>
  </si>
  <si>
    <t>C_Rect_L7.2mm_W3.0mm_P5.00mm_FKS2_FKP2_MKS2_MKP2</t>
  </si>
  <si>
    <t>Wima</t>
  </si>
  <si>
    <t>MKP2D022201B00KSSD</t>
  </si>
  <si>
    <t>C3-C5,C8</t>
  </si>
  <si>
    <t>10n</t>
  </si>
  <si>
    <t>CAP FILM PP-M WIMA MKP2 10n</t>
  </si>
  <si>
    <t>MKP2C021001B00JSSD</t>
  </si>
  <si>
    <t>C6,C7,C9,C10,C12,C20-C29,U7</t>
  </si>
  <si>
    <t>100n,10u,1u,22p,TLE2426xD</t>
  </si>
  <si>
    <t>CAP SMD 100nF 0402 25V+ X7R,CAP SMD 10uF 1206 25V+ X7R,CAP SMD 1uF 0603 25V+ X7R,CAP SMD 22pF 0402 25V+ NP0,Precision virtual ground, noise reduction pin, 4V to 40V input, SOIC-8</t>
  </si>
  <si>
    <t>C_0402_1005Metric,Capacitor_SMD:C_0603_1608Metric,Capacitor_SMD:C_1206_3216Metric,Package_SO:SOIC-8_3.9x4.9mm_P1.27mm</t>
  </si>
  <si>
    <t/>
  </si>
  <si>
    <t>C11</t>
  </si>
  <si>
    <t>10u</t>
  </si>
  <si>
    <t>CAP ALUM POL 20% 50V SMT 10u</t>
  </si>
  <si>
    <t>CP_Elec_6.3x5.8</t>
  </si>
  <si>
    <t>Panasonic</t>
  </si>
  <si>
    <t>EEE-HB1H100P</t>
  </si>
  <si>
    <t>C13</t>
  </si>
  <si>
    <t>100u</t>
  </si>
  <si>
    <t>CAP ALUM POL 20% 25V SMT 100u</t>
  </si>
  <si>
    <t>CP_Elec_8x6.2</t>
  </si>
  <si>
    <t>EEE-FK1E101P</t>
  </si>
  <si>
    <t>J1,J2</t>
  </si>
  <si>
    <t>6</t>
  </si>
  <si>
    <t>Â¼ in Audio Jack, TS, NC switch x2, Outtie, Low Profile, Metal shaft, plastic threads</t>
  </si>
  <si>
    <t>Amphenol_ACJM-MHDR(M)</t>
  </si>
  <si>
    <t>Amphenol Audio</t>
  </si>
  <si>
    <t>ACJM-MHDR</t>
  </si>
  <si>
    <t>J3</t>
  </si>
  <si>
    <t>Â¼ in Audio Jack, TRS, NC switch x3, Outtie, Low Profile, Metal shaft, plastic threads</t>
  </si>
  <si>
    <t>Amphenol_ACJS-MHDR(M)</t>
  </si>
  <si>
    <t>Neutrik</t>
  </si>
  <si>
    <t>ACJS-MHDR</t>
  </si>
  <si>
    <t>J4,J5</t>
  </si>
  <si>
    <t>16</t>
  </si>
  <si>
    <t>16 Position FFC, FPC Connector Contacts, Right Angle - 1 Sided 0.020" (0.50mm) Surface Mount</t>
  </si>
  <si>
    <t>AMPHENOL_F32R-1A7H1-11016</t>
  </si>
  <si>
    <t>Amphenol ICC (FCI)</t>
  </si>
  <si>
    <t>F32R-1A7H1-11016</t>
  </si>
  <si>
    <t>J6</t>
  </si>
  <si>
    <t>12</t>
  </si>
  <si>
    <t>12 Position FFC, FPC Connector Contacts, Right Angle - 1 Sided 0.020" (0.50mm) Surface Mount</t>
  </si>
  <si>
    <t>AMPHENOL_F32R-1A7H1-11012</t>
  </si>
  <si>
    <t>F32R-1A7H1-11012</t>
  </si>
  <si>
    <t>OP1-OP6</t>
  </si>
  <si>
    <t>NSL-32</t>
  </si>
  <si>
    <t>Optocoupler, LED Input, Photocell Output</t>
  </si>
  <si>
    <t>Luna_NSL-32_Vertical</t>
  </si>
  <si>
    <t>Advanced Photonix</t>
  </si>
  <si>
    <t>R1-R4</t>
  </si>
  <si>
    <t>1k</t>
  </si>
  <si>
    <t>RES SMD 0603 1 KOHM 100mW Thin Film</t>
  </si>
  <si>
    <t>R_0603_1608Metric</t>
  </si>
  <si>
    <t>Yageo</t>
  </si>
  <si>
    <t>RT0603BRD071KL</t>
  </si>
  <si>
    <t>R5,R6,R15,R17</t>
  </si>
  <si>
    <t>1M</t>
  </si>
  <si>
    <t>RES SMD 0603 1 MOHM 100mW Thin Film</t>
  </si>
  <si>
    <t>RT0603BRD071ML</t>
  </si>
  <si>
    <t>R7-R10</t>
  </si>
  <si>
    <t>39k</t>
  </si>
  <si>
    <t>RES SMD 0603 39 KOHM 100mW Thin Film</t>
  </si>
  <si>
    <t>RT0603BRD0739KL</t>
  </si>
  <si>
    <t>R11,R12</t>
  </si>
  <si>
    <t>100</t>
  </si>
  <si>
    <t>RES SMD 0603 100 OHM 100mW Thin Film</t>
  </si>
  <si>
    <t>RT0603BRD07100RL</t>
  </si>
  <si>
    <t>R13,R14</t>
  </si>
  <si>
    <t>330</t>
  </si>
  <si>
    <t>RES SMD 0603 330 OHM 100mW Thin Film</t>
  </si>
  <si>
    <t>RT0603BRD07330RL</t>
  </si>
  <si>
    <t>R16,R18</t>
  </si>
  <si>
    <t>100k</t>
  </si>
  <si>
    <t>RES SMD 0603 100 KOHM 100mW Thin Film</t>
  </si>
  <si>
    <t>RT0603BRD07100KL</t>
  </si>
  <si>
    <t>R20</t>
  </si>
  <si>
    <t>1</t>
  </si>
  <si>
    <t>RES SMD 0603 1 OHM 100mW Thin Film</t>
  </si>
  <si>
    <t>RT0603BRD071RL</t>
  </si>
  <si>
    <t>RV1,RV2</t>
  </si>
  <si>
    <t>B1k</t>
  </si>
  <si>
    <t>POT TRIM LINEAR SMD 5-TURN SIDE-ADJ 1K</t>
  </si>
  <si>
    <t>Potentiometer_Bourns_3214G_Horizontal</t>
  </si>
  <si>
    <t>Bourns</t>
  </si>
  <si>
    <t>3214G-1-102E</t>
  </si>
  <si>
    <t>U1-U5</t>
  </si>
  <si>
    <t>OPA1688IDR</t>
  </si>
  <si>
    <t>Op Amp, Dual, 36V, RRIO, Audio Spec, High Current, SOIC-8</t>
  </si>
  <si>
    <t>SOIC-8_3.9x4.9mm_P1.27mm</t>
  </si>
  <si>
    <t>TI</t>
  </si>
  <si>
    <t>Mouser</t>
  </si>
  <si>
    <t>Avail</t>
  </si>
  <si>
    <t>Purch</t>
  </si>
  <si>
    <t>MOQ</t>
  </si>
  <si>
    <t>Cat#</t>
  </si>
  <si>
    <t>505-MKP2-.022/100/10</t>
  </si>
  <si>
    <t>505-MKP2C021001B00JS</t>
  </si>
  <si>
    <t>667-EEE-HB1H100P</t>
  </si>
  <si>
    <t>NonStk</t>
  </si>
  <si>
    <t>667-EEE-FK1E101P</t>
  </si>
  <si>
    <t>523-ACJM-MHDR</t>
  </si>
  <si>
    <t>523-ACJS-MHDR</t>
  </si>
  <si>
    <t>649-F32R-1A7H1-11016</t>
  </si>
  <si>
    <t>649-F32R-1A7H1-11012</t>
  </si>
  <si>
    <t>846-NSL-32</t>
  </si>
  <si>
    <t>603-RT0603BRD071KL</t>
  </si>
  <si>
    <t>603-RT0603BRD071ML</t>
  </si>
  <si>
    <t>603-RT0603BRD0739KL</t>
  </si>
  <si>
    <t>603-RT0603BRD07100RL</t>
  </si>
  <si>
    <t>603-RT0603BRD07330RL</t>
  </si>
  <si>
    <t>603-RT0603BRD07100KL</t>
  </si>
  <si>
    <t>603-RT0603BRD071RL</t>
  </si>
  <si>
    <t>652-3214G-1-102E</t>
  </si>
  <si>
    <t>595-OPA1688IDR</t>
  </si>
  <si>
    <t>Buy here</t>
  </si>
  <si>
    <t>Total Purchase:</t>
  </si>
  <si>
    <t>Purchase description:</t>
  </si>
  <si>
    <t>Prj:</t>
  </si>
  <si>
    <t>Input_Board_BOM.csv</t>
  </si>
  <si>
    <t>Co.:</t>
  </si>
  <si>
    <t>Prj date:</t>
  </si>
  <si>
    <t>2025-04-25 12:37:54 (file)</t>
  </si>
  <si>
    <t>Board Qty:</t>
  </si>
  <si>
    <t>Total Cost:</t>
  </si>
  <si>
    <t>Unit Cost:</t>
  </si>
  <si>
    <t>$ date:</t>
  </si>
  <si>
    <t>2025-04-25 12:38:02</t>
  </si>
  <si>
    <t>KiCost® v1.1.20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</si>
</sst>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004A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1" applyAlignment="1" applyProtection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AAAAAA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ma.de/wp-content/uploads/media/e_WIMA_MKP_2.pdf" TargetMode="External"/><Relationship Id="rId2" Type="http://schemas.openxmlformats.org/officeDocument/2006/relationships/hyperlink" Target="https://www.mouser.com/ProductDetail/WIMA/MKP2D022201B00KSSD?qs=ISKKXg98%252B1mOCnEFh%2FWGhQ%3D%3D" TargetMode="External"/><Relationship Id="rId3" Type="http://schemas.openxmlformats.org/officeDocument/2006/relationships/hyperlink" Target="https://www.wima.de/wp-content/uploads/media/e_WIMA_MKP_2.pdf" TargetMode="External"/><Relationship Id="rId4" Type="http://schemas.openxmlformats.org/officeDocument/2006/relationships/hyperlink" Target="https://www.mouser.com/ProductDetail/WIMA/MKP2C021001B00JSSD?qs=iPPgFPFs9PP7l6sJ1xgixQ%3D%3D" TargetMode="External"/><Relationship Id="rId5" Type="http://schemas.openxmlformats.org/officeDocument/2006/relationships/hyperlink" Target="http://www.ti.com/lit/ds/symlink/tle2426.pdf" TargetMode="External"/><Relationship Id="rId6" Type="http://schemas.openxmlformats.org/officeDocument/2006/relationships/hyperlink" Target="https://industrial.panasonic.com/cdbs/www-data/pdf/RDE0000/ABA0000C1157.pdf" TargetMode="External"/><Relationship Id="rId7" Type="http://schemas.openxmlformats.org/officeDocument/2006/relationships/hyperlink" Target="https://www.mouser.com/ProductDetail/Panasonic/EEE-HB1H100P?qs=Ywefl8B65e6F2PykBNep3A%3D%3D" TargetMode="External"/><Relationship Id="rId8" Type="http://schemas.openxmlformats.org/officeDocument/2006/relationships/hyperlink" Target="https://industrial.panasonic.com/cdbs/www-data/pdf/RDE0000/ABA0000C1181.pdf" TargetMode="External"/><Relationship Id="rId9" Type="http://schemas.openxmlformats.org/officeDocument/2006/relationships/hyperlink" Target="https://www.mouser.com/ProductDetail/Panasonic/EEE-FK1E101P?qs=qE6bgDGEOCtak5ktXPcbeA%3D%3D" TargetMode="External"/><Relationship Id="rId10" Type="http://schemas.openxmlformats.org/officeDocument/2006/relationships/hyperlink" Target="https://www.neutrik.us/en-us/product/nrj6hh.pdf" TargetMode="External"/><Relationship Id="rId11" Type="http://schemas.openxmlformats.org/officeDocument/2006/relationships/hyperlink" Target="https://www.mouser.com/ProductDetail/Amphenol-Audio/ACJM-MHDR?qs=NlNVDDZd7xQyPyTSy0Xtzg%3D%3D" TargetMode="External"/><Relationship Id="rId12" Type="http://schemas.openxmlformats.org/officeDocument/2006/relationships/hyperlink" Target="https://www.neutrik.us/en-us/product/nrj6hh.pdf" TargetMode="External"/><Relationship Id="rId13" Type="http://schemas.openxmlformats.org/officeDocument/2006/relationships/hyperlink" Target="https://www.mouser.com/ProductDetail/Amphenol-Audio/ACJS-MHDR?qs=NlNVDDZd7xTCfXBCJpjpjw%3D%3D" TargetMode="External"/><Relationship Id="rId14" Type="http://schemas.openxmlformats.org/officeDocument/2006/relationships/hyperlink" Target="https://cdn.amphenol-cs.com/media/wysiwyg/files/documentation/datasheet/flex/ffc_fpc_050mm_f32r_f32q.pdf" TargetMode="External"/><Relationship Id="rId15" Type="http://schemas.openxmlformats.org/officeDocument/2006/relationships/hyperlink" Target="https://www.mouser.com/ProductDetail/Amphenol-Aorora/F32R-1A7H1-11016?qs=xZ%2FP%252Ba9zWqal099V%252BSSkgQ%3D%3D" TargetMode="External"/><Relationship Id="rId16" Type="http://schemas.openxmlformats.org/officeDocument/2006/relationships/hyperlink" Target="https://cdn.amphenol-cs.com/media/wysiwyg/files/documentation/datasheet/flex/ffc_fpc_050mm_f32r_f32q.pdf" TargetMode="External"/><Relationship Id="rId17" Type="http://schemas.openxmlformats.org/officeDocument/2006/relationships/hyperlink" Target="https://www.mouser.com/ProductDetail/Amphenol-Aorora/F32R-1A7H1-11012?qs=xZ%2FP%252Ba9zWqbQ9K09mv9rlw%3D%3D" TargetMode="External"/><Relationship Id="rId18" Type="http://schemas.openxmlformats.org/officeDocument/2006/relationships/hyperlink" Target="https://mm.digikey.com/Volume0/opasdata/d220001/medias/docus/5337/NSL-32_Rev.A_Aug.19%2C2021.pdf" TargetMode="External"/><Relationship Id="rId19" Type="http://schemas.openxmlformats.org/officeDocument/2006/relationships/hyperlink" Target="https://www.mouser.com/ProductDetail/Advanced-Photonix/NSL-32?qs=Znm5pLBrcALK8nouQ7b4Ag%3D%3D" TargetMode="External"/><Relationship Id="rId20" Type="http://schemas.openxmlformats.org/officeDocument/2006/relationships/hyperlink" Target="https://www.yageo.com/upload/media/product/app/datasheet/rchip/pyu-rt_1-to-0.01_rohs_l.pdf" TargetMode="External"/><Relationship Id="rId21" Type="http://schemas.openxmlformats.org/officeDocument/2006/relationships/hyperlink" Target="https://www.mouser.com/ProductDetail/YAGEO/RT0603BRD071KL?qs=axriQ0Yj988c5hDxadHTkg%3D%3D" TargetMode="External"/><Relationship Id="rId22" Type="http://schemas.openxmlformats.org/officeDocument/2006/relationships/hyperlink" Target="https://www.yageo.com/upload/media/product/app/datasheet/rchip/pyu-rt_1-to-0.01_rohs_l.pdf" TargetMode="External"/><Relationship Id="rId23" Type="http://schemas.openxmlformats.org/officeDocument/2006/relationships/hyperlink" Target="https://www.mouser.com/ProductDetail/YAGEO/RT0603BRD071ML?qs=k2KEx2DUIRQ51pLUJBVhAg%3D%3D" TargetMode="External"/><Relationship Id="rId24" Type="http://schemas.openxmlformats.org/officeDocument/2006/relationships/hyperlink" Target="https://www.yageo.com/upload/media/product/app/datasheet/rchip/pyu-rt_1-to-0.01_rohs_l.pdf" TargetMode="External"/><Relationship Id="rId25" Type="http://schemas.openxmlformats.org/officeDocument/2006/relationships/hyperlink" Target="https://www.mouser.com/ProductDetail/YAGEO/RT0603BRD0739KL?qs=%2Ff7pOCXLR5c2efGOSH1PSA%3D%3D" TargetMode="External"/><Relationship Id="rId26" Type="http://schemas.openxmlformats.org/officeDocument/2006/relationships/hyperlink" Target="https://www.yageo.com/upload/media/product/app/datasheet/rchip/pyu-rt_1-to-0.01_rohs_l.pdf" TargetMode="External"/><Relationship Id="rId27" Type="http://schemas.openxmlformats.org/officeDocument/2006/relationships/hyperlink" Target="https://www.mouser.com/ProductDetail/YAGEO/RT0603BRD07100RL?qs=%2Ff7pOCXLR5csfC4Dp3nTdw%3D%3D" TargetMode="External"/><Relationship Id="rId28" Type="http://schemas.openxmlformats.org/officeDocument/2006/relationships/hyperlink" Target="https://www.yageo.com/upload/media/product/app/datasheet/rchip/pyu-rt_1-to-0.01_rohs_l.pdf" TargetMode="External"/><Relationship Id="rId29" Type="http://schemas.openxmlformats.org/officeDocument/2006/relationships/hyperlink" Target="https://www.mouser.com/ProductDetail/YAGEO/RT0603BRD07330RL?qs=%2Ff7pOCXLR5cGPz0jAvLWgg%3D%3D" TargetMode="External"/><Relationship Id="rId30" Type="http://schemas.openxmlformats.org/officeDocument/2006/relationships/hyperlink" Target="https://www.yageo.com/upload/media/product/app/datasheet/rchip/pyu-rt_1-to-0.01_rohs_l.pdf" TargetMode="External"/><Relationship Id="rId31" Type="http://schemas.openxmlformats.org/officeDocument/2006/relationships/hyperlink" Target="https://www.mouser.com/ProductDetail/YAGEO/RT0603BRD07100KL?qs=axriQ0Yj98%252BtJ4o%2FXFGgtQ%3D%3D" TargetMode="External"/><Relationship Id="rId32" Type="http://schemas.openxmlformats.org/officeDocument/2006/relationships/hyperlink" Target="https://www.yageo.com/upload/media/product/app/datasheet/rchip/pyu-rt_1-to-0.01_rohs_l.pdf" TargetMode="External"/><Relationship Id="rId33" Type="http://schemas.openxmlformats.org/officeDocument/2006/relationships/hyperlink" Target="https://www.mouser.com/ProductDetail/YAGEO/RT0603BRD071RL?qs=1X5yxNMcnLyNfCHBsITBCw%3D%3D" TargetMode="External"/><Relationship Id="rId34" Type="http://schemas.openxmlformats.org/officeDocument/2006/relationships/hyperlink" Target="https://www.bourns.com/docs/Product-Datasheets/3214.pdf" TargetMode="External"/><Relationship Id="rId35" Type="http://schemas.openxmlformats.org/officeDocument/2006/relationships/hyperlink" Target="https://www.mouser.com/ProductDetail/Bourns/3214G-1-102E?qs=44uO4s74P53FTLDgqH%252B4EA%3D%3D" TargetMode="External"/><Relationship Id="rId36" Type="http://schemas.openxmlformats.org/officeDocument/2006/relationships/hyperlink" Target="https://www.ti.com/general/docs/suppproductinfo.tsp?distId=10&amp;gotoUrl=https%3A%2F%2Fwww.ti.com%2Flit%2Fgpn%2Fopa1688" TargetMode="External"/><Relationship Id="rId37" Type="http://schemas.openxmlformats.org/officeDocument/2006/relationships/hyperlink" Target="https://www.mouser.com/ProductDetail/Texas-Instruments/OPA1688IDR?qs=yajEpaT76uRtQtQB%252Bxxvtw%3D%3D" TargetMode="External"/><Relationship Id="rId38" Type="http://schemas.openxmlformats.org/officeDocument/2006/relationships/hyperlink" Target="https://mouser.com/bom/" TargetMode="External"/><Relationship Id="rId39" Type="http://schemas.openxmlformats.org/officeDocument/2006/relationships/vmlDrawing" Target="../drawings/vmlDrawing1.vml"/><Relationship Id="rId4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>
      <pane xSplit="9" ySplit="6" topLeftCell="J7" activePane="bottomRight" state="frozen"/>
      <selection pane="topRight" activeCell="J1" sqref="J1"/>
      <selection pane="bottomLeft" activeCell="A7" sqref="A7"/>
      <selection pane="bottomRight"/>
    </sheetView>
  </sheetViews>
  <sheetFormatPr defaultRowHeight="15" outlineLevelCol="3"/>
  <cols>
    <col min="1" max="1" width="28.7109375" customWidth="1"/>
    <col min="2" max="2" width="26.7109375" customWidth="1"/>
    <col min="3" max="4" width="33.7109375" customWidth="1" outlineLevel="2"/>
    <col min="5" max="6" width="19.7109375" customWidth="1" outlineLevel="1"/>
    <col min="7" max="7" width="9.140625" outlineLevel="1"/>
    <col min="8" max="8" width="22.7109375" customWidth="1"/>
    <col min="9" max="9" width="16.7109375" customWidth="1"/>
    <col min="10" max="10" width="9.7109375" customWidth="1" outlineLevel="1"/>
    <col min="11" max="11" width="9.140625" outlineLevel="2"/>
    <col min="12" max="12" width="10.7109375" customWidth="1" outlineLevel="2"/>
    <col min="13" max="13" width="0" hidden="1" customWidth="1" outlineLevel="3" collapsed="1"/>
    <col min="14" max="14" width="16.7109375" customWidth="1"/>
    <col min="15" max="15" width="21.7109375" customWidth="1" outlineLevel="2"/>
  </cols>
  <sheetData>
    <row r="1" spans="1:15">
      <c r="A1" s="1" t="s">
        <v>131</v>
      </c>
      <c r="B1" s="2" t="s">
        <v>132</v>
      </c>
      <c r="H1" s="3" t="s">
        <v>136</v>
      </c>
      <c r="I1" s="3">
        <v>100</v>
      </c>
    </row>
    <row r="2" spans="1:15">
      <c r="A2" s="1" t="s">
        <v>133</v>
      </c>
      <c r="B2" s="2"/>
      <c r="H2" s="1" t="s">
        <v>138</v>
      </c>
      <c r="I2" s="4">
        <f>TotalCost/BoardQty</f>
        <v>25.978</v>
      </c>
    </row>
    <row r="3" spans="1:15">
      <c r="A3" s="1" t="s">
        <v>134</v>
      </c>
      <c r="B3" s="2" t="s">
        <v>135</v>
      </c>
      <c r="H3" s="1" t="s">
        <v>137</v>
      </c>
      <c r="I3" s="5">
        <f>SUM(I7:I25)</f>
        <v>2597.8</v>
      </c>
      <c r="N3" s="5">
        <f>SUM(N7:N25)</f>
        <v>2597.8</v>
      </c>
      <c r="O3" s="6" t="str">
        <f>(COUNTA(N7:N25)&amp;" of "&amp;ROWS(N7:N25)&amp;" parts found")</f>
        <v>18 of 19 parts found</v>
      </c>
    </row>
    <row r="4" spans="1:15">
      <c r="A4" s="1" t="s">
        <v>139</v>
      </c>
      <c r="B4" s="2" t="s">
        <v>140</v>
      </c>
    </row>
    <row r="5" spans="1:15">
      <c r="A5" s="7" t="s">
        <v>0</v>
      </c>
      <c r="B5" s="7"/>
      <c r="C5" s="7"/>
      <c r="D5" s="7"/>
      <c r="E5" s="7"/>
      <c r="F5" s="7"/>
      <c r="G5" s="7"/>
      <c r="H5" s="7"/>
      <c r="I5" s="7"/>
      <c r="J5" s="8" t="s">
        <v>104</v>
      </c>
      <c r="K5" s="8"/>
      <c r="L5" s="8"/>
      <c r="M5" s="8"/>
      <c r="N5" s="8"/>
      <c r="O5" s="8"/>
    </row>
    <row r="6" spans="1:15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105</v>
      </c>
      <c r="K6" s="9" t="s">
        <v>106</v>
      </c>
      <c r="L6" s="9" t="s">
        <v>8</v>
      </c>
      <c r="M6" s="9" t="s">
        <v>107</v>
      </c>
      <c r="N6" s="9" t="s">
        <v>9</v>
      </c>
      <c r="O6" s="9" t="s">
        <v>108</v>
      </c>
    </row>
    <row r="7" spans="1:15" ht="30" customHeight="1">
      <c r="A7" s="10" t="s">
        <v>10</v>
      </c>
      <c r="B7" s="10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0">
        <f>CEILING(BoardQty*2.0,1)</f>
        <v>200</v>
      </c>
      <c r="H7" s="11">
        <f>IF(MIN(L7)&lt;&gt;0,MIN(L7),"")</f>
        <v>0.217</v>
      </c>
      <c r="I7" s="12">
        <f>IF(AND(ISNUMBER(G7),ISNUMBER(H7)),G7*H7,"")</f>
        <v>43.4</v>
      </c>
      <c r="J7" s="10">
        <v>2215</v>
      </c>
      <c r="K7" s="10"/>
      <c r="L7" s="11">
        <f>IFERROR(IF(OR(K7&gt;=M7,G7&gt;=M7),LOOKUP(IF(K7="",G7,K7),{0,1,10,100,500,1000,5000,10000,50000},{0.0,0.49,0.254,0.217,0.176,0.155,0.143,0.132,0.121}),"MOQ="&amp;M7),"")</f>
        <v>0.217</v>
      </c>
      <c r="M7" s="10">
        <v>1</v>
      </c>
      <c r="N7" s="12">
        <f>IFERROR(IF(K7="",G7,K7)*L7,"")</f>
        <v>43.4</v>
      </c>
      <c r="O7" s="10" t="s">
        <v>109</v>
      </c>
    </row>
    <row r="8" spans="1:15" ht="30" customHeight="1">
      <c r="A8" s="10" t="s">
        <v>16</v>
      </c>
      <c r="B8" s="10" t="s">
        <v>17</v>
      </c>
      <c r="C8" s="10" t="s">
        <v>18</v>
      </c>
      <c r="D8" s="10" t="s">
        <v>13</v>
      </c>
      <c r="E8" s="10" t="s">
        <v>14</v>
      </c>
      <c r="F8" s="10" t="s">
        <v>19</v>
      </c>
      <c r="G8" s="10">
        <f>CEILING(BoardQty*4.0,1)</f>
        <v>400</v>
      </c>
      <c r="H8" s="11">
        <f>IF(MIN(L8)&lt;&gt;0,MIN(L8),"")</f>
        <v>0.249</v>
      </c>
      <c r="I8" s="12">
        <f>IF(AND(ISNUMBER(G8),ISNUMBER(H8)),G8*H8,"")</f>
        <v>99.6</v>
      </c>
      <c r="J8" s="10">
        <v>6378</v>
      </c>
      <c r="K8" s="10"/>
      <c r="L8" s="11">
        <f>IFERROR(IF(OR(K8&gt;=M8,G8&gt;=M8),LOOKUP(IF(K8="",G8,K8),{0,1,10,100,500,1000,5000,10000,50000},{0.0,0.54,0.291,0.249,0.203,0.178,0.166,0.154,0.142}),"MOQ="&amp;M8),"")</f>
        <v>0.249</v>
      </c>
      <c r="M8" s="10">
        <v>1</v>
      </c>
      <c r="N8" s="12">
        <f>IFERROR(IF(K8="",G8,K8)*L8,"")</f>
        <v>99.6</v>
      </c>
      <c r="O8" s="10" t="s">
        <v>110</v>
      </c>
    </row>
    <row r="9" spans="1:15" ht="90" customHeight="1">
      <c r="A9" s="10" t="s">
        <v>20</v>
      </c>
      <c r="B9" s="10" t="s">
        <v>21</v>
      </c>
      <c r="C9" s="10" t="s">
        <v>22</v>
      </c>
      <c r="D9" s="10" t="s">
        <v>23</v>
      </c>
      <c r="E9" s="10" t="s">
        <v>24</v>
      </c>
      <c r="F9" s="10" t="s">
        <v>24</v>
      </c>
      <c r="G9" s="10">
        <f>CEILING(BoardQty*16.0,1)</f>
        <v>1600</v>
      </c>
      <c r="H9" s="11">
        <f>IF(MIN(L9)&lt;&gt;0,MIN(L9),"")</f>
        <v/>
      </c>
      <c r="I9" s="12">
        <f>IF(AND(ISNUMBER(G9),ISNUMBER(H9)),G9*H9,"")</f>
        <v/>
      </c>
    </row>
    <row r="10" spans="1:15">
      <c r="A10" s="10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  <c r="F10" s="10" t="s">
        <v>30</v>
      </c>
      <c r="G10" s="10">
        <f>CEILING(BoardQty*1.0,1)</f>
        <v>100</v>
      </c>
      <c r="H10" s="11">
        <f>IF(MIN(L10)&lt;&gt;0,MIN(L10),"")</f>
        <v>0.17</v>
      </c>
      <c r="I10" s="12">
        <f>IF(AND(ISNUMBER(G10),ISNUMBER(H10)),G10*H10,"")</f>
        <v>17.0</v>
      </c>
      <c r="J10" s="13" t="s">
        <v>112</v>
      </c>
      <c r="K10" s="10"/>
      <c r="L10" s="11">
        <f>IFERROR(IF(OR(K10&gt;=M10,G10&gt;=M10),LOOKUP(IF(K10="",G10,K10),{0,1,10,100,500,1000,2000,25000,50000},{0.0,0.41,0.192,0.17,0.132,0.099,0.089,0.086,0.082}),"MOQ="&amp;M10),"")</f>
        <v>0.17</v>
      </c>
      <c r="M10" s="10">
        <v>1</v>
      </c>
      <c r="N10" s="12">
        <f>IFERROR(IF(K10="",G10,K10)*L10,"")</f>
        <v>17.0</v>
      </c>
      <c r="O10" s="10" t="s">
        <v>111</v>
      </c>
    </row>
    <row r="11" spans="1:15">
      <c r="A11" s="10" t="s">
        <v>31</v>
      </c>
      <c r="B11" s="10" t="s">
        <v>32</v>
      </c>
      <c r="C11" s="10" t="s">
        <v>33</v>
      </c>
      <c r="D11" s="10" t="s">
        <v>34</v>
      </c>
      <c r="E11" s="10" t="s">
        <v>29</v>
      </c>
      <c r="F11" s="10" t="s">
        <v>35</v>
      </c>
      <c r="G11" s="10">
        <f>CEILING(BoardQty*1.0,1)</f>
        <v>100</v>
      </c>
      <c r="H11" s="11">
        <f>IF(MIN(L11)&lt;&gt;0,MIN(L11),"")</f>
        <v>0.278</v>
      </c>
      <c r="I11" s="12">
        <f>IF(AND(ISNUMBER(G11),ISNUMBER(H11)),G11*H11,"")</f>
        <v>27.8</v>
      </c>
      <c r="J11" s="10">
        <v>37333</v>
      </c>
      <c r="K11" s="10"/>
      <c r="L11" s="11">
        <f>IFERROR(IF(OR(K11&gt;=M11,G11&gt;=M11),LOOKUP(IF(K11="",G11,K11),{0,1,10,100,500,1000,2000,10000,50000},{0.0,0.58,0.311,0.278,0.229,0.19,0.172,0.167,0.151}),"MOQ="&amp;M11),"")</f>
        <v>0.278</v>
      </c>
      <c r="M11" s="10">
        <v>1</v>
      </c>
      <c r="N11" s="12">
        <f>IFERROR(IF(K11="",G11,K11)*L11,"")</f>
        <v>27.8</v>
      </c>
      <c r="O11" s="10" t="s">
        <v>113</v>
      </c>
    </row>
    <row r="12" spans="1:15" ht="45" customHeight="1">
      <c r="A12" s="10" t="s">
        <v>36</v>
      </c>
      <c r="B12" s="10" t="s">
        <v>37</v>
      </c>
      <c r="C12" s="10" t="s">
        <v>38</v>
      </c>
      <c r="D12" s="10" t="s">
        <v>39</v>
      </c>
      <c r="E12" s="10" t="s">
        <v>40</v>
      </c>
      <c r="F12" s="10" t="s">
        <v>41</v>
      </c>
      <c r="G12" s="10">
        <f>CEILING(BoardQty*2.0,1)</f>
        <v>200</v>
      </c>
      <c r="H12" s="11">
        <f>IF(MIN(L12)&lt;&gt;0,MIN(L12),"")</f>
        <v>1.22</v>
      </c>
      <c r="I12" s="12">
        <f>IF(AND(ISNUMBER(G12),ISNUMBER(H12)),G12*H12,"")</f>
        <v>244.0</v>
      </c>
      <c r="J12" s="10">
        <v>1417</v>
      </c>
      <c r="K12" s="10"/>
      <c r="L12" s="11">
        <f>IFERROR(IF(OR(K12&gt;=M12,G12&gt;=M12),LOOKUP(IF(K12="",G12,K12),{0,1,10,20,50,100,200,500,1000,2000},{0.0,1.83,1.54,1.46,1.39,1.31,1.22,1.17,1.15,1.05}),"MOQ="&amp;M12),"")</f>
        <v>1.22</v>
      </c>
      <c r="M12" s="10">
        <v>1</v>
      </c>
      <c r="N12" s="12">
        <f>IFERROR(IF(K12="",G12,K12)*L12,"")</f>
        <v>244.0</v>
      </c>
      <c r="O12" s="10" t="s">
        <v>114</v>
      </c>
    </row>
    <row r="13" spans="1:15" ht="45" customHeight="1">
      <c r="A13" s="10" t="s">
        <v>42</v>
      </c>
      <c r="B13" s="10" t="s">
        <v>37</v>
      </c>
      <c r="C13" s="10" t="s">
        <v>43</v>
      </c>
      <c r="D13" s="10" t="s">
        <v>44</v>
      </c>
      <c r="E13" s="10" t="s">
        <v>45</v>
      </c>
      <c r="F13" s="10" t="s">
        <v>46</v>
      </c>
      <c r="G13" s="10">
        <f>CEILING(BoardQty*1.0,1)</f>
        <v>100</v>
      </c>
      <c r="H13" s="11">
        <f>IF(MIN(L13)&lt;&gt;0,MIN(L13),"")</f>
        <v>1.55</v>
      </c>
      <c r="I13" s="12">
        <f>IF(AND(ISNUMBER(G13),ISNUMBER(H13)),G13*H13,"")</f>
        <v>155.0</v>
      </c>
      <c r="J13" s="10">
        <v>3577</v>
      </c>
      <c r="K13" s="10"/>
      <c r="L13" s="11">
        <f>IFERROR(IF(OR(K13&gt;=M13,G13&gt;=M13),LOOKUP(IF(K13="",G13,K13),{0,1,10,20,50,100,200,500,1000,2000},{0.0,2.12,1.91,1.84,1.75,1.55,1.44,1.35,1.2,1.13}),"MOQ="&amp;M13),"")</f>
        <v>1.55</v>
      </c>
      <c r="M13" s="10">
        <v>1</v>
      </c>
      <c r="N13" s="12">
        <f>IFERROR(IF(K13="",G13,K13)*L13,"")</f>
        <v>155.0</v>
      </c>
      <c r="O13" s="10" t="s">
        <v>115</v>
      </c>
    </row>
    <row r="14" spans="1:15" ht="45" customHeight="1">
      <c r="A14" s="10" t="s">
        <v>47</v>
      </c>
      <c r="B14" s="10" t="s">
        <v>48</v>
      </c>
      <c r="C14" s="10" t="s">
        <v>49</v>
      </c>
      <c r="D14" s="10" t="s">
        <v>50</v>
      </c>
      <c r="E14" s="10" t="s">
        <v>51</v>
      </c>
      <c r="F14" s="10" t="s">
        <v>52</v>
      </c>
      <c r="G14" s="10">
        <f>CEILING(BoardQty*2.0,1)</f>
        <v>200</v>
      </c>
      <c r="H14" s="11">
        <f>IF(MIN(L14)&lt;&gt;0,MIN(L14),"")</f>
        <v>0.364</v>
      </c>
      <c r="I14" s="12">
        <f>IF(AND(ISNUMBER(G14),ISNUMBER(H14)),G14*H14,"")</f>
        <v>72.8</v>
      </c>
      <c r="J14" s="10">
        <v>27412</v>
      </c>
      <c r="K14" s="10"/>
      <c r="L14" s="11">
        <f>IFERROR(IF(OR(K14&gt;=M14,G14&gt;=M14),LOOKUP(IF(K14="",G14,K14),{0,1,10,100,500,1000,1800,3600,23400},{0.0,0.59,0.42,0.364,0.342,0.306,0.287,0.268,0.267}),"MOQ="&amp;M14),"")</f>
        <v>0.364</v>
      </c>
      <c r="M14" s="10">
        <v>1</v>
      </c>
      <c r="N14" s="12">
        <f>IFERROR(IF(K14="",G14,K14)*L14,"")</f>
        <v>72.8</v>
      </c>
      <c r="O14" s="10" t="s">
        <v>116</v>
      </c>
    </row>
    <row r="15" spans="1:15" ht="45" customHeight="1">
      <c r="A15" s="10" t="s">
        <v>53</v>
      </c>
      <c r="B15" s="10" t="s">
        <v>54</v>
      </c>
      <c r="C15" s="10" t="s">
        <v>55</v>
      </c>
      <c r="D15" s="10" t="s">
        <v>56</v>
      </c>
      <c r="E15" s="10" t="s">
        <v>51</v>
      </c>
      <c r="F15" s="10" t="s">
        <v>57</v>
      </c>
      <c r="G15" s="10">
        <f>CEILING(BoardQty*1.0,1)</f>
        <v>100</v>
      </c>
      <c r="H15" s="11">
        <f>IF(MIN(L15)&lt;&gt;0,MIN(L15),"")</f>
        <v>0.323</v>
      </c>
      <c r="I15" s="12">
        <f>IF(AND(ISNUMBER(G15),ISNUMBER(H15)),G15*H15,"")</f>
        <v>32.3</v>
      </c>
      <c r="J15" s="10">
        <v>17198</v>
      </c>
      <c r="K15" s="10"/>
      <c r="L15" s="11">
        <f>IFERROR(IF(OR(K15&gt;=M15,G15&gt;=M15),LOOKUP(IF(K15="",G15,K15),{0,1,10,100,500,1000,1800,3600},{0.0,0.45,0.358,0.323,0.304,0.271,0.255,0.24}),"MOQ="&amp;M15),"")</f>
        <v>0.323</v>
      </c>
      <c r="M15" s="10">
        <v>1</v>
      </c>
      <c r="N15" s="12">
        <f>IFERROR(IF(K15="",G15,K15)*L15,"")</f>
        <v>32.3</v>
      </c>
      <c r="O15" s="10" t="s">
        <v>117</v>
      </c>
    </row>
    <row r="16" spans="1:15" ht="30" customHeight="1">
      <c r="A16" s="10" t="s">
        <v>58</v>
      </c>
      <c r="B16" s="10" t="s">
        <v>59</v>
      </c>
      <c r="C16" s="10" t="s">
        <v>60</v>
      </c>
      <c r="D16" s="10" t="s">
        <v>61</v>
      </c>
      <c r="E16" s="10" t="s">
        <v>62</v>
      </c>
      <c r="F16" s="10" t="s">
        <v>59</v>
      </c>
      <c r="G16" s="10">
        <f>CEILING(BoardQty*6.0,1)</f>
        <v>600</v>
      </c>
      <c r="H16" s="11">
        <f>IF(MIN(L16)&lt;&gt;0,MIN(L16),"")</f>
        <v>1.75</v>
      </c>
      <c r="I16" s="12">
        <f>IF(AND(ISNUMBER(G16),ISNUMBER(H16)),G16*H16,"")</f>
        <v>1050.0</v>
      </c>
      <c r="J16" s="10">
        <v>5975</v>
      </c>
      <c r="K16" s="10"/>
      <c r="L16" s="11">
        <f>IFERROR(IF(OR(K16&gt;=M16,G16&gt;=M16),LOOKUP(IF(K16="",G16,K16),{0,1,10,100,500,1000,1500,4500},{0.0,3.47,2.55,2.0,1.75,1.64,1.57,1.53}),"MOQ="&amp;M16),"")</f>
        <v>1.75</v>
      </c>
      <c r="M16" s="10">
        <v>1</v>
      </c>
      <c r="N16" s="12">
        <f>IFERROR(IF(K16="",G16,K16)*L16,"")</f>
        <v>1050.0</v>
      </c>
      <c r="O16" s="10" t="s">
        <v>118</v>
      </c>
    </row>
    <row r="17" spans="1:15" ht="30" customHeight="1">
      <c r="A17" s="10" t="s">
        <v>63</v>
      </c>
      <c r="B17" s="10" t="s">
        <v>64</v>
      </c>
      <c r="C17" s="10" t="s">
        <v>65</v>
      </c>
      <c r="D17" s="10" t="s">
        <v>66</v>
      </c>
      <c r="E17" s="10" t="s">
        <v>67</v>
      </c>
      <c r="F17" s="10" t="s">
        <v>68</v>
      </c>
      <c r="G17" s="10">
        <f>CEILING(BoardQty*4.0,1)</f>
        <v>400</v>
      </c>
      <c r="H17" s="11">
        <f>IF(MIN(L17)&lt;&gt;0,MIN(L17),"")</f>
        <v>0.076</v>
      </c>
      <c r="I17" s="12">
        <f>IF(AND(ISNUMBER(G17),ISNUMBER(H17)),G17*H17,"")</f>
        <v>30.4</v>
      </c>
      <c r="J17" s="10">
        <v>16404</v>
      </c>
      <c r="K17" s="10"/>
      <c r="L17" s="11">
        <f>IFERROR(IF(OR(K17&gt;=M17,G17&gt;=M17),LOOKUP(IF(K17="",G17,K17),{0,1,10,50,100,500,1000,5000},{0.0,0.15,0.106,0.085,0.076,0.059,0.051,0.033}),"MOQ="&amp;M17),"")</f>
        <v>0.076</v>
      </c>
      <c r="M17" s="10">
        <v>1</v>
      </c>
      <c r="N17" s="12">
        <f>IFERROR(IF(K17="",G17,K17)*L17,"")</f>
        <v>30.4</v>
      </c>
      <c r="O17" s="10" t="s">
        <v>119</v>
      </c>
    </row>
    <row r="18" spans="1:15" ht="30" customHeight="1">
      <c r="A18" s="10" t="s">
        <v>69</v>
      </c>
      <c r="B18" s="10" t="s">
        <v>70</v>
      </c>
      <c r="C18" s="10" t="s">
        <v>71</v>
      </c>
      <c r="D18" s="10" t="s">
        <v>66</v>
      </c>
      <c r="E18" s="10" t="s">
        <v>67</v>
      </c>
      <c r="F18" s="10" t="s">
        <v>72</v>
      </c>
      <c r="G18" s="10">
        <f>CEILING(BoardQty*4.0,1)</f>
        <v>400</v>
      </c>
      <c r="H18" s="11">
        <f>IF(MIN(L18)&lt;&gt;0,MIN(L18),"")</f>
        <v>0.074</v>
      </c>
      <c r="I18" s="12">
        <f>IF(AND(ISNUMBER(G18),ISNUMBER(H18)),G18*H18,"")</f>
        <v>29.6</v>
      </c>
      <c r="J18" s="10">
        <v>13805</v>
      </c>
      <c r="K18" s="10"/>
      <c r="L18" s="11">
        <f>IFERROR(IF(OR(K18&gt;=M18,G18&gt;=M18),LOOKUP(IF(K18="",G18,K18),{0,1,10,50,100,500,1000,5000,10000},{0.0,0.13,0.08,0.077,0.074,0.057,0.051,0.031,0.03}),"MOQ="&amp;M18),"")</f>
        <v>0.074</v>
      </c>
      <c r="M18" s="10">
        <v>1</v>
      </c>
      <c r="N18" s="12">
        <f>IFERROR(IF(K18="",G18,K18)*L18,"")</f>
        <v>29.6</v>
      </c>
      <c r="O18" s="10" t="s">
        <v>120</v>
      </c>
    </row>
    <row r="19" spans="1:15" ht="30" customHeight="1">
      <c r="A19" s="10" t="s">
        <v>73</v>
      </c>
      <c r="B19" s="10" t="s">
        <v>74</v>
      </c>
      <c r="C19" s="10" t="s">
        <v>75</v>
      </c>
      <c r="D19" s="10" t="s">
        <v>66</v>
      </c>
      <c r="E19" s="10" t="s">
        <v>67</v>
      </c>
      <c r="F19" s="10" t="s">
        <v>76</v>
      </c>
      <c r="G19" s="10">
        <f>CEILING(BoardQty*4.0,1)</f>
        <v>400</v>
      </c>
      <c r="H19" s="11">
        <f>IF(MIN(L19)&lt;&gt;0,MIN(L19),"")</f>
        <v>0.076</v>
      </c>
      <c r="I19" s="12">
        <f>IF(AND(ISNUMBER(G19),ISNUMBER(H19)),G19*H19,"")</f>
        <v>30.4</v>
      </c>
      <c r="J19" s="10">
        <v>6158</v>
      </c>
      <c r="K19" s="10"/>
      <c r="L19" s="11">
        <f>IFERROR(IF(OR(K19&gt;=M19,G19&gt;=M19),LOOKUP(IF(K19="",G19,K19),{0,1,10,50,100,500,1000,5000,10000},{0.0,0.14,0.105,0.085,0.076,0.059,0.055,0.043,0.032}),"MOQ="&amp;M19),"")</f>
        <v>0.076</v>
      </c>
      <c r="M19" s="10">
        <v>1</v>
      </c>
      <c r="N19" s="12">
        <f>IFERROR(IF(K19="",G19,K19)*L19,"")</f>
        <v>30.4</v>
      </c>
      <c r="O19" s="10" t="s">
        <v>121</v>
      </c>
    </row>
    <row r="20" spans="1:15" ht="30" customHeight="1">
      <c r="A20" s="10" t="s">
        <v>77</v>
      </c>
      <c r="B20" s="10" t="s">
        <v>78</v>
      </c>
      <c r="C20" s="10" t="s">
        <v>79</v>
      </c>
      <c r="D20" s="10" t="s">
        <v>66</v>
      </c>
      <c r="E20" s="10" t="s">
        <v>67</v>
      </c>
      <c r="F20" s="10" t="s">
        <v>80</v>
      </c>
      <c r="G20" s="10">
        <f>CEILING(BoardQty*2.0,1)</f>
        <v>200</v>
      </c>
      <c r="H20" s="11">
        <f>IF(MIN(L20)&lt;&gt;0,MIN(L20),"")</f>
        <v>0.07</v>
      </c>
      <c r="I20" s="12">
        <f>IF(AND(ISNUMBER(G20),ISNUMBER(H20)),G20*H20,"")</f>
        <v>14.0</v>
      </c>
      <c r="J20" s="10">
        <v>18755</v>
      </c>
      <c r="K20" s="10"/>
      <c r="L20" s="11">
        <f>IFERROR(IF(OR(K20&gt;=M20,G20&gt;=M20),LOOKUP(IF(K20="",G20,K20),{0,1,10,50,100,500,1000,5000},{0.0,0.14,0.091,0.081,0.07,0.059,0.056,0.033}),"MOQ="&amp;M20),"")</f>
        <v>0.07</v>
      </c>
      <c r="M20" s="10">
        <v>1</v>
      </c>
      <c r="N20" s="12">
        <f>IFERROR(IF(K20="",G20,K20)*L20,"")</f>
        <v>14.0</v>
      </c>
      <c r="O20" s="10" t="s">
        <v>122</v>
      </c>
    </row>
    <row r="21" spans="1:15" ht="30" customHeight="1">
      <c r="A21" s="10" t="s">
        <v>81</v>
      </c>
      <c r="B21" s="10" t="s">
        <v>82</v>
      </c>
      <c r="C21" s="10" t="s">
        <v>83</v>
      </c>
      <c r="D21" s="10" t="s">
        <v>66</v>
      </c>
      <c r="E21" s="10" t="s">
        <v>67</v>
      </c>
      <c r="F21" s="10" t="s">
        <v>84</v>
      </c>
      <c r="G21" s="10">
        <f>CEILING(BoardQty*2.0,1)</f>
        <v>200</v>
      </c>
      <c r="H21" s="11">
        <f>IF(MIN(L21)&lt;&gt;0,MIN(L21),"")</f>
        <v>0.074</v>
      </c>
      <c r="I21" s="12">
        <f>IF(AND(ISNUMBER(G21),ISNUMBER(H21)),G21*H21,"")</f>
        <v>14.8</v>
      </c>
      <c r="J21" s="10">
        <v>11249</v>
      </c>
      <c r="K21" s="10"/>
      <c r="L21" s="11">
        <f>IFERROR(IF(OR(K21&gt;=M21,G21&gt;=M21),LOOKUP(IF(K21="",G21,K21),{0,1,10,50,100,500,1000,2000,5000,10000},{0.0,0.14,0.099,0.082,0.074,0.057,0.05,0.047,0.033,0.032}),"MOQ="&amp;M21),"")</f>
        <v>0.074</v>
      </c>
      <c r="M21" s="10">
        <v>1</v>
      </c>
      <c r="N21" s="12">
        <f>IFERROR(IF(K21="",G21,K21)*L21,"")</f>
        <v>14.8</v>
      </c>
      <c r="O21" s="10" t="s">
        <v>123</v>
      </c>
    </row>
    <row r="22" spans="1:15" ht="30" customHeight="1">
      <c r="A22" s="10" t="s">
        <v>85</v>
      </c>
      <c r="B22" s="10" t="s">
        <v>86</v>
      </c>
      <c r="C22" s="10" t="s">
        <v>87</v>
      </c>
      <c r="D22" s="10" t="s">
        <v>66</v>
      </c>
      <c r="E22" s="10" t="s">
        <v>67</v>
      </c>
      <c r="F22" s="10" t="s">
        <v>88</v>
      </c>
      <c r="G22" s="10">
        <f>CEILING(BoardQty*2.0,1)</f>
        <v>200</v>
      </c>
      <c r="H22" s="11">
        <f>IF(MIN(L22)&lt;&gt;0,MIN(L22),"")</f>
        <v>0.073</v>
      </c>
      <c r="I22" s="12">
        <f>IF(AND(ISNUMBER(G22),ISNUMBER(H22)),G22*H22,"")</f>
        <v>14.6</v>
      </c>
      <c r="J22" s="13" t="s">
        <v>112</v>
      </c>
      <c r="K22" s="10"/>
      <c r="L22" s="11">
        <f>IFERROR(IF(OR(K22&gt;=M22,G22&gt;=M22),LOOKUP(IF(K22="",G22,K22),{0,1,10,50,100,500,1000,2000,5000,10000},{0.0,0.14,0.098,0.083,0.073,0.056,0.051,0.048,0.036,0.032}),"MOQ="&amp;M22),"")</f>
        <v>0.073</v>
      </c>
      <c r="M22" s="10">
        <v>1</v>
      </c>
      <c r="N22" s="12">
        <f>IFERROR(IF(K22="",G22,K22)*L22,"")</f>
        <v>14.6</v>
      </c>
      <c r="O22" s="10" t="s">
        <v>124</v>
      </c>
    </row>
    <row r="23" spans="1:15" ht="30" customHeight="1">
      <c r="A23" s="10" t="s">
        <v>89</v>
      </c>
      <c r="B23" s="10" t="s">
        <v>90</v>
      </c>
      <c r="C23" s="10" t="s">
        <v>91</v>
      </c>
      <c r="D23" s="10" t="s">
        <v>66</v>
      </c>
      <c r="E23" s="10" t="s">
        <v>67</v>
      </c>
      <c r="F23" s="10" t="s">
        <v>92</v>
      </c>
      <c r="G23" s="10">
        <f>CEILING(BoardQty*1.0,1)</f>
        <v>100</v>
      </c>
      <c r="H23" s="11">
        <f>IF(MIN(L23)&lt;&gt;0,MIN(L23),"")</f>
        <v>0.111</v>
      </c>
      <c r="I23" s="12">
        <f>IF(AND(ISNUMBER(G23),ISNUMBER(H23)),G23*H23,"")</f>
        <v>11.1</v>
      </c>
      <c r="J23" s="10">
        <v>1343</v>
      </c>
      <c r="K23" s="10"/>
      <c r="L23" s="11">
        <f>IFERROR(IF(OR(K23&gt;=M23,G23&gt;=M23),LOOKUP(IF(K23="",G23,K23),{0,1,10,50,100,500,1000,2000,5000,10000},{0.0,0.21,0.155,0.123,0.111,0.084,0.076,0.074,0.055,0.05}),"MOQ="&amp;M23),"")</f>
        <v>0.111</v>
      </c>
      <c r="M23" s="10">
        <v>1</v>
      </c>
      <c r="N23" s="12">
        <f>IFERROR(IF(K23="",G23,K23)*L23,"")</f>
        <v>11.1</v>
      </c>
      <c r="O23" s="10" t="s">
        <v>125</v>
      </c>
    </row>
    <row r="24" spans="1:15" ht="30" customHeight="1">
      <c r="A24" s="10" t="s">
        <v>93</v>
      </c>
      <c r="B24" s="10" t="s">
        <v>94</v>
      </c>
      <c r="C24" s="10" t="s">
        <v>95</v>
      </c>
      <c r="D24" s="10" t="s">
        <v>96</v>
      </c>
      <c r="E24" s="10" t="s">
        <v>97</v>
      </c>
      <c r="F24" s="10" t="s">
        <v>98</v>
      </c>
      <c r="G24" s="10">
        <f>CEILING(BoardQty*2.0,1)</f>
        <v>200</v>
      </c>
      <c r="H24" s="11">
        <f>IF(MIN(L24)&lt;&gt;0,MIN(L24),"")</f>
        <v>1.74</v>
      </c>
      <c r="I24" s="12">
        <f>IF(AND(ISNUMBER(G24),ISNUMBER(H24)),G24*H24,"")</f>
        <v>348.0</v>
      </c>
      <c r="J24" s="13" t="s">
        <v>112</v>
      </c>
      <c r="K24" s="10"/>
      <c r="L24" s="11">
        <f>IFERROR(IF(OR(K24&gt;=M24,G24&gt;=M24),LOOKUP(IF(K24="",G24,K24),{0,1,10,100,500,1000,2500,5000},{0.0,2.18,2.01,1.74,1.55,1.44,1.36,1.32}),"MOQ="&amp;M24),"")</f>
        <v>1.74</v>
      </c>
      <c r="M24" s="10">
        <v>1</v>
      </c>
      <c r="N24" s="12">
        <f>IFERROR(IF(K24="",G24,K24)*L24,"")</f>
        <v>348.0</v>
      </c>
      <c r="O24" s="10" t="s">
        <v>126</v>
      </c>
    </row>
    <row r="25" spans="1:15" ht="30" customHeight="1">
      <c r="A25" s="10" t="s">
        <v>99</v>
      </c>
      <c r="B25" s="10" t="s">
        <v>100</v>
      </c>
      <c r="C25" s="10" t="s">
        <v>101</v>
      </c>
      <c r="D25" s="10" t="s">
        <v>102</v>
      </c>
      <c r="E25" s="10" t="s">
        <v>103</v>
      </c>
      <c r="F25" s="10" t="s">
        <v>100</v>
      </c>
      <c r="G25" s="10">
        <f>CEILING(BoardQty*5.0,1)</f>
        <v>500</v>
      </c>
      <c r="H25" s="11">
        <f>IF(MIN(L25)&lt;&gt;0,MIN(L25),"")</f>
        <v>0.726</v>
      </c>
      <c r="I25" s="12">
        <f>IF(AND(ISNUMBER(G25),ISNUMBER(H25)),G25*H25,"")</f>
        <v>363.0</v>
      </c>
      <c r="J25" s="10">
        <v>19409</v>
      </c>
      <c r="K25" s="10"/>
      <c r="L25" s="11">
        <f>IFERROR(IF(OR(K25&gt;=M25,G25&gt;=M25),LOOKUP(IF(K25="",G25,K25),{0,1,10,25,100,250,500,1000,2500,7500},{0.0,1.38,1.01,0.908,0.805,0.756,0.726,0.688,0.675,0.663}),"MOQ="&amp;M25),"")</f>
        <v>0.726</v>
      </c>
      <c r="M25" s="10">
        <v>1</v>
      </c>
      <c r="N25" s="12">
        <f>IFERROR(IF(K25="",G25,K25)*L25,"")</f>
        <v>363.0</v>
      </c>
      <c r="O25" s="10" t="s">
        <v>127</v>
      </c>
    </row>
    <row r="27" spans="1:15">
      <c r="H27" s="1" t="s">
        <v>129</v>
      </c>
      <c r="I27" s="5">
        <f>SUM(N27)</f>
        <v>0</v>
      </c>
      <c r="J27" s="14" t="s">
        <v>128</v>
      </c>
      <c r="K27" s="6">
        <f>IFERROR(IF(COUNTIF(K7:K25,"&gt;0")&gt;0,COUNTIF(K7:K25,"&gt;0")&amp;" of "&amp;(ROWS(M7:M25)-COUNTBLANK(M7:M25))&amp;" parts purchased",""),"")</f>
        <v/>
      </c>
      <c r="N27" s="5">
        <f>SUMIF(K7:K25,"&gt;0",N7:N25)</f>
        <v>0</v>
      </c>
    </row>
    <row r="28" spans="1:15">
      <c r="A28" s="2" t="s">
        <v>141</v>
      </c>
      <c r="H28" s="15" t="s">
        <v>130</v>
      </c>
      <c r="K28" s="16">
        <f>CONCATENATE(K48,K49,K50,K51,K52,K53,K54,K55,K56,K57,K58,K59,K60,K61,K62,K63,K64,K65,K66)</f>
        <v/>
      </c>
    </row>
    <row r="48" spans="11:11" ht="30" hidden="1" customHeight="1">
      <c r="K48" t="str">
        <f t="array" ref="K48:K66">IF(ISNUMBER(K7:K25)*(K7:K25&gt;=M7:M25)*(O7:O25&lt;&gt;""),O7:O25&amp;"|"&amp;TEXT(ROUNDUP(K7:K25/IF(ISNUMBER(M7:M25),M7:M25,1),0)*M7:M25,"##0")&amp;"|"&amp;SUBSTITUTE(SUBSTITUTE(SUBSTITUTE(IF(PURCHASE_DESCRIPTION&lt;&gt;"",PURCHASE_DESCRIPTION&amp;":","")&amp;A7:A25,"|",";")," ","_"),"
","_")&amp;CHAR(10),"")</f>
        <v/>
      </c>
    </row>
    <row r="49" spans="11:11" ht="30" hidden="1" customHeight="1">
      <c r="K49">
        <v>0</v>
      </c>
    </row>
    <row r="50" spans="11:11" ht="30" hidden="1" customHeight="1">
      <c r="K50">
        <v>0</v>
      </c>
    </row>
    <row r="51" spans="11:11" ht="30" hidden="1" customHeight="1">
      <c r="K51">
        <v>0</v>
      </c>
    </row>
    <row r="52" spans="11:11" ht="30" hidden="1" customHeight="1">
      <c r="K52">
        <v>0</v>
      </c>
    </row>
    <row r="53" spans="11:11" ht="30" hidden="1" customHeight="1">
      <c r="K53">
        <v>0</v>
      </c>
    </row>
    <row r="54" spans="11:11" ht="30" hidden="1" customHeight="1">
      <c r="K54">
        <v>0</v>
      </c>
    </row>
    <row r="55" spans="11:11" ht="30" hidden="1" customHeight="1">
      <c r="K55">
        <v>0</v>
      </c>
    </row>
    <row r="56" spans="11:11" ht="30" hidden="1" customHeight="1">
      <c r="K56">
        <v>0</v>
      </c>
    </row>
    <row r="57" spans="11:11" ht="30" hidden="1" customHeight="1">
      <c r="K57">
        <v>0</v>
      </c>
    </row>
    <row r="58" spans="11:11" ht="30" hidden="1" customHeight="1">
      <c r="K58">
        <v>0</v>
      </c>
    </row>
    <row r="59" spans="11:11" ht="30" hidden="1" customHeight="1">
      <c r="K59">
        <v>0</v>
      </c>
    </row>
    <row r="60" spans="11:11" ht="30" hidden="1" customHeight="1">
      <c r="K60">
        <v>0</v>
      </c>
    </row>
    <row r="61" spans="11:11" ht="30" hidden="1" customHeight="1">
      <c r="K61">
        <v>0</v>
      </c>
    </row>
    <row r="62" spans="11:11" ht="30" hidden="1" customHeight="1">
      <c r="K62">
        <v>0</v>
      </c>
    </row>
    <row r="63" spans="11:11" ht="30" hidden="1" customHeight="1">
      <c r="K63">
        <v>0</v>
      </c>
    </row>
    <row r="64" spans="11:11" ht="30" hidden="1" customHeight="1">
      <c r="K64">
        <v>0</v>
      </c>
    </row>
    <row r="65" spans="11:11" ht="30" hidden="1" customHeight="1">
      <c r="K65">
        <v>0</v>
      </c>
    </row>
    <row r="66" spans="11:11" ht="30" hidden="1" customHeight="1">
      <c r="K66">
        <v>0</v>
      </c>
    </row>
  </sheetData>
  <mergeCells count="3">
    <mergeCell ref="A5:I5"/>
    <mergeCell ref="J5:O5"/>
    <mergeCell ref="K28:N47"/>
  </mergeCells>
  <conditionalFormatting sqref="G10">
    <cfRule type="expression" dxfId="2" priority="49">
      <formula>AND(ISBLANK(F10),ISBLANK(N10))</formula>
    </cfRule>
    <cfRule type="expression" dxfId="1" priority="50">
      <formula>IF(SUM(J10)=0,1,0)</formula>
    </cfRule>
    <cfRule type="cellIs" dxfId="0" priority="51" operator="greaterThan">
      <formula>SUM(J10)</formula>
    </cfRule>
    <cfRule type="cellIs" dxfId="3" priority="52" operator="greaterThan">
      <formula>SUM(IF(ISNUMBER(L10),K10,0))</formula>
    </cfRule>
  </conditionalFormatting>
  <conditionalFormatting sqref="G11">
    <cfRule type="expression" dxfId="2" priority="53">
      <formula>AND(ISBLANK(F11),ISBLANK(N11))</formula>
    </cfRule>
    <cfRule type="expression" dxfId="1" priority="54">
      <formula>IF(SUM(J11)=0,1,0)</formula>
    </cfRule>
    <cfRule type="cellIs" dxfId="0" priority="55" operator="greaterThan">
      <formula>SUM(J11)</formula>
    </cfRule>
    <cfRule type="cellIs" dxfId="3" priority="56" operator="greaterThan">
      <formula>SUM(IF(ISNUMBER(L11),K11,0))</formula>
    </cfRule>
  </conditionalFormatting>
  <conditionalFormatting sqref="G12">
    <cfRule type="expression" dxfId="2" priority="57">
      <formula>AND(ISBLANK(F12),ISBLANK(N12))</formula>
    </cfRule>
    <cfRule type="expression" dxfId="1" priority="58">
      <formula>IF(SUM(J12)=0,1,0)</formula>
    </cfRule>
    <cfRule type="cellIs" dxfId="0" priority="59" operator="greaterThan">
      <formula>SUM(J12)</formula>
    </cfRule>
    <cfRule type="cellIs" dxfId="3" priority="60" operator="greaterThan">
      <formula>SUM(IF(ISNUMBER(L12),K12,0))</formula>
    </cfRule>
  </conditionalFormatting>
  <conditionalFormatting sqref="G13">
    <cfRule type="expression" dxfId="2" priority="61">
      <formula>AND(ISBLANK(F13),ISBLANK(N13))</formula>
    </cfRule>
    <cfRule type="expression" dxfId="1" priority="62">
      <formula>IF(SUM(J13)=0,1,0)</formula>
    </cfRule>
    <cfRule type="cellIs" dxfId="0" priority="63" operator="greaterThan">
      <formula>SUM(J13)</formula>
    </cfRule>
    <cfRule type="cellIs" dxfId="3" priority="64" operator="greaterThan">
      <formula>SUM(IF(ISNUMBER(L13),K13,0))</formula>
    </cfRule>
  </conditionalFormatting>
  <conditionalFormatting sqref="G14">
    <cfRule type="expression" dxfId="2" priority="65">
      <formula>AND(ISBLANK(F14),ISBLANK(N14))</formula>
    </cfRule>
    <cfRule type="expression" dxfId="1" priority="66">
      <formula>IF(SUM(J14)=0,1,0)</formula>
    </cfRule>
    <cfRule type="cellIs" dxfId="0" priority="67" operator="greaterThan">
      <formula>SUM(J14)</formula>
    </cfRule>
    <cfRule type="cellIs" dxfId="3" priority="68" operator="greaterThan">
      <formula>SUM(IF(ISNUMBER(L14),K14,0))</formula>
    </cfRule>
  </conditionalFormatting>
  <conditionalFormatting sqref="G15">
    <cfRule type="expression" dxfId="2" priority="69">
      <formula>AND(ISBLANK(F15),ISBLANK(N15))</formula>
    </cfRule>
    <cfRule type="expression" dxfId="1" priority="70">
      <formula>IF(SUM(J15)=0,1,0)</formula>
    </cfRule>
    <cfRule type="cellIs" dxfId="0" priority="71" operator="greaterThan">
      <formula>SUM(J15)</formula>
    </cfRule>
    <cfRule type="cellIs" dxfId="3" priority="72" operator="greaterThan">
      <formula>SUM(IF(ISNUMBER(L15),K15,0))</formula>
    </cfRule>
  </conditionalFormatting>
  <conditionalFormatting sqref="G16">
    <cfRule type="expression" dxfId="2" priority="73">
      <formula>AND(ISBLANK(F16),ISBLANK(N16))</formula>
    </cfRule>
    <cfRule type="expression" dxfId="1" priority="74">
      <formula>IF(SUM(J16)=0,1,0)</formula>
    </cfRule>
    <cfRule type="cellIs" dxfId="0" priority="75" operator="greaterThan">
      <formula>SUM(J16)</formula>
    </cfRule>
    <cfRule type="cellIs" dxfId="3" priority="76" operator="greaterThan">
      <formula>SUM(IF(ISNUMBER(L16),K16,0))</formula>
    </cfRule>
  </conditionalFormatting>
  <conditionalFormatting sqref="G17">
    <cfRule type="expression" dxfId="2" priority="77">
      <formula>AND(ISBLANK(F17),ISBLANK(N17))</formula>
    </cfRule>
    <cfRule type="expression" dxfId="1" priority="78">
      <formula>IF(SUM(J17)=0,1,0)</formula>
    </cfRule>
    <cfRule type="cellIs" dxfId="0" priority="79" operator="greaterThan">
      <formula>SUM(J17)</formula>
    </cfRule>
    <cfRule type="cellIs" dxfId="3" priority="80" operator="greaterThan">
      <formula>SUM(IF(ISNUMBER(L17),K17,0))</formula>
    </cfRule>
  </conditionalFormatting>
  <conditionalFormatting sqref="G18">
    <cfRule type="expression" dxfId="2" priority="81">
      <formula>AND(ISBLANK(F18),ISBLANK(N18))</formula>
    </cfRule>
    <cfRule type="expression" dxfId="1" priority="82">
      <formula>IF(SUM(J18)=0,1,0)</formula>
    </cfRule>
    <cfRule type="cellIs" dxfId="0" priority="83" operator="greaterThan">
      <formula>SUM(J18)</formula>
    </cfRule>
    <cfRule type="cellIs" dxfId="3" priority="84" operator="greaterThan">
      <formula>SUM(IF(ISNUMBER(L18),K18,0))</formula>
    </cfRule>
  </conditionalFormatting>
  <conditionalFormatting sqref="G19">
    <cfRule type="expression" dxfId="2" priority="85">
      <formula>AND(ISBLANK(F19),ISBLANK(N19))</formula>
    </cfRule>
    <cfRule type="expression" dxfId="1" priority="86">
      <formula>IF(SUM(J19)=0,1,0)</formula>
    </cfRule>
    <cfRule type="cellIs" dxfId="0" priority="87" operator="greaterThan">
      <formula>SUM(J19)</formula>
    </cfRule>
    <cfRule type="cellIs" dxfId="3" priority="88" operator="greaterThan">
      <formula>SUM(IF(ISNUMBER(L19),K19,0))</formula>
    </cfRule>
  </conditionalFormatting>
  <conditionalFormatting sqref="G20">
    <cfRule type="expression" dxfId="2" priority="89">
      <formula>AND(ISBLANK(F20),ISBLANK(N20))</formula>
    </cfRule>
    <cfRule type="expression" dxfId="1" priority="90">
      <formula>IF(SUM(J20)=0,1,0)</formula>
    </cfRule>
    <cfRule type="cellIs" dxfId="0" priority="91" operator="greaterThan">
      <formula>SUM(J20)</formula>
    </cfRule>
    <cfRule type="cellIs" dxfId="3" priority="92" operator="greaterThan">
      <formula>SUM(IF(ISNUMBER(L20),K20,0))</formula>
    </cfRule>
  </conditionalFormatting>
  <conditionalFormatting sqref="G21">
    <cfRule type="expression" dxfId="2" priority="93">
      <formula>AND(ISBLANK(F21),ISBLANK(N21))</formula>
    </cfRule>
    <cfRule type="expression" dxfId="1" priority="94">
      <formula>IF(SUM(J21)=0,1,0)</formula>
    </cfRule>
    <cfRule type="cellIs" dxfId="0" priority="95" operator="greaterThan">
      <formula>SUM(J21)</formula>
    </cfRule>
    <cfRule type="cellIs" dxfId="3" priority="96" operator="greaterThan">
      <formula>SUM(IF(ISNUMBER(L21),K21,0))</formula>
    </cfRule>
  </conditionalFormatting>
  <conditionalFormatting sqref="G22">
    <cfRule type="expression" dxfId="2" priority="97">
      <formula>AND(ISBLANK(F22),ISBLANK(N22))</formula>
    </cfRule>
    <cfRule type="expression" dxfId="1" priority="98">
      <formula>IF(SUM(J22)=0,1,0)</formula>
    </cfRule>
    <cfRule type="cellIs" dxfId="0" priority="99" operator="greaterThan">
      <formula>SUM(J22)</formula>
    </cfRule>
    <cfRule type="cellIs" dxfId="3" priority="100" operator="greaterThan">
      <formula>SUM(IF(ISNUMBER(L22),K22,0))</formula>
    </cfRule>
  </conditionalFormatting>
  <conditionalFormatting sqref="G23">
    <cfRule type="expression" dxfId="2" priority="101">
      <formula>AND(ISBLANK(F23),ISBLANK(N23))</formula>
    </cfRule>
    <cfRule type="expression" dxfId="1" priority="102">
      <formula>IF(SUM(J23)=0,1,0)</formula>
    </cfRule>
    <cfRule type="cellIs" dxfId="0" priority="103" operator="greaterThan">
      <formula>SUM(J23)</formula>
    </cfRule>
    <cfRule type="cellIs" dxfId="3" priority="104" operator="greaterThan">
      <formula>SUM(IF(ISNUMBER(L23),K23,0))</formula>
    </cfRule>
  </conditionalFormatting>
  <conditionalFormatting sqref="G24">
    <cfRule type="expression" dxfId="2" priority="105">
      <formula>AND(ISBLANK(F24),ISBLANK(N24))</formula>
    </cfRule>
    <cfRule type="expression" dxfId="1" priority="106">
      <formula>IF(SUM(J24)=0,1,0)</formula>
    </cfRule>
    <cfRule type="cellIs" dxfId="0" priority="107" operator="greaterThan">
      <formula>SUM(J24)</formula>
    </cfRule>
    <cfRule type="cellIs" dxfId="3" priority="108" operator="greaterThan">
      <formula>SUM(IF(ISNUMBER(L24),K24,0))</formula>
    </cfRule>
  </conditionalFormatting>
  <conditionalFormatting sqref="G25">
    <cfRule type="expression" dxfId="2" priority="109">
      <formula>AND(ISBLANK(F25),ISBLANK(N25))</formula>
    </cfRule>
    <cfRule type="expression" dxfId="1" priority="110">
      <formula>IF(SUM(J25)=0,1,0)</formula>
    </cfRule>
    <cfRule type="cellIs" dxfId="0" priority="111" operator="greaterThan">
      <formula>SUM(J25)</formula>
    </cfRule>
    <cfRule type="cellIs" dxfId="3" priority="112" operator="greaterThan">
      <formula>SUM(IF(ISNUMBER(L25),K25,0))</formula>
    </cfRule>
  </conditionalFormatting>
  <conditionalFormatting sqref="G7">
    <cfRule type="expression" dxfId="2" priority="37">
      <formula>AND(ISBLANK(F7),ISBLANK(N7))</formula>
    </cfRule>
    <cfRule type="expression" dxfId="1" priority="38">
      <formula>IF(SUM(J7)=0,1,0)</formula>
    </cfRule>
    <cfRule type="cellIs" dxfId="0" priority="39" operator="greaterThan">
      <formula>SUM(J7)</formula>
    </cfRule>
    <cfRule type="cellIs" dxfId="3" priority="40" operator="greaterThan">
      <formula>SUM(IF(ISNUMBER(L7),K7,0))</formula>
    </cfRule>
  </conditionalFormatting>
  <conditionalFormatting sqref="G8">
    <cfRule type="expression" dxfId="2" priority="41">
      <formula>AND(ISBLANK(F8),ISBLANK(N8))</formula>
    </cfRule>
    <cfRule type="expression" dxfId="1" priority="42">
      <formula>IF(SUM(J8)=0,1,0)</formula>
    </cfRule>
    <cfRule type="cellIs" dxfId="0" priority="43" operator="greaterThan">
      <formula>SUM(J8)</formula>
    </cfRule>
    <cfRule type="cellIs" dxfId="3" priority="44" operator="greaterThan">
      <formula>SUM(IF(ISNUMBER(L8),K8,0))</formula>
    </cfRule>
  </conditionalFormatting>
  <conditionalFormatting sqref="G9">
    <cfRule type="expression" dxfId="2" priority="45">
      <formula>AND(ISBLANK(F9),ISBLANK(N9))</formula>
    </cfRule>
    <cfRule type="expression" dxfId="1" priority="46">
      <formula>IF(SUM(J9)=0,1,0)</formula>
    </cfRule>
    <cfRule type="cellIs" dxfId="0" priority="47" operator="greaterThan">
      <formula>SUM(J9)</formula>
    </cfRule>
    <cfRule type="cellIs" dxfId="3" priority="48" operator="greaterThan">
      <formula>SUM(IF(ISNUMBER(L9),K9,0))</formula>
    </cfRule>
  </conditionalFormatting>
  <conditionalFormatting sqref="J10">
    <cfRule type="cellIs" dxfId="0" priority="5" operator="lessThan">
      <formula>G10</formula>
    </cfRule>
  </conditionalFormatting>
  <conditionalFormatting sqref="J11">
    <cfRule type="cellIs" dxfId="0" priority="7" operator="lessThan">
      <formula>G11</formula>
    </cfRule>
  </conditionalFormatting>
  <conditionalFormatting sqref="J12">
    <cfRule type="cellIs" dxfId="0" priority="9" operator="lessThan">
      <formula>G12</formula>
    </cfRule>
  </conditionalFormatting>
  <conditionalFormatting sqref="J13">
    <cfRule type="cellIs" dxfId="0" priority="11" operator="lessThan">
      <formula>G13</formula>
    </cfRule>
  </conditionalFormatting>
  <conditionalFormatting sqref="J14">
    <cfRule type="cellIs" dxfId="0" priority="13" operator="lessThan">
      <formula>G14</formula>
    </cfRule>
  </conditionalFormatting>
  <conditionalFormatting sqref="J15">
    <cfRule type="cellIs" dxfId="0" priority="15" operator="lessThan">
      <formula>G15</formula>
    </cfRule>
  </conditionalFormatting>
  <conditionalFormatting sqref="J16">
    <cfRule type="cellIs" dxfId="0" priority="17" operator="lessThan">
      <formula>G16</formula>
    </cfRule>
  </conditionalFormatting>
  <conditionalFormatting sqref="J17">
    <cfRule type="cellIs" dxfId="0" priority="19" operator="lessThan">
      <formula>G17</formula>
    </cfRule>
  </conditionalFormatting>
  <conditionalFormatting sqref="J18">
    <cfRule type="cellIs" dxfId="0" priority="21" operator="lessThan">
      <formula>G18</formula>
    </cfRule>
  </conditionalFormatting>
  <conditionalFormatting sqref="J19">
    <cfRule type="cellIs" dxfId="0" priority="23" operator="lessThan">
      <formula>G19</formula>
    </cfRule>
  </conditionalFormatting>
  <conditionalFormatting sqref="J20">
    <cfRule type="cellIs" dxfId="0" priority="25" operator="lessThan">
      <formula>G20</formula>
    </cfRule>
  </conditionalFormatting>
  <conditionalFormatting sqref="J21">
    <cfRule type="cellIs" dxfId="0" priority="27" operator="lessThan">
      <formula>G21</formula>
    </cfRule>
  </conditionalFormatting>
  <conditionalFormatting sqref="J22">
    <cfRule type="cellIs" dxfId="0" priority="29" operator="lessThan">
      <formula>G22</formula>
    </cfRule>
  </conditionalFormatting>
  <conditionalFormatting sqref="J23">
    <cfRule type="cellIs" dxfId="0" priority="31" operator="lessThan">
      <formula>G23</formula>
    </cfRule>
  </conditionalFormatting>
  <conditionalFormatting sqref="J24">
    <cfRule type="cellIs" dxfId="0" priority="33" operator="lessThan">
      <formula>G24</formula>
    </cfRule>
  </conditionalFormatting>
  <conditionalFormatting sqref="J25">
    <cfRule type="cellIs" dxfId="0" priority="35" operator="lessThan">
      <formula>G25</formula>
    </cfRule>
  </conditionalFormatting>
  <conditionalFormatting sqref="J7">
    <cfRule type="cellIs" dxfId="0" priority="1" operator="lessThan">
      <formula>G7</formula>
    </cfRule>
  </conditionalFormatting>
  <conditionalFormatting sqref="J8">
    <cfRule type="cellIs" dxfId="0" priority="3" operator="lessThan">
      <formula>G8</formula>
    </cfRule>
  </conditionalFormatting>
  <conditionalFormatting sqref="K10">
    <cfRule type="expression" dxfId="1" priority="6">
      <formula>AND(NOT(ISBLANK(K10)),OR(J10="NonStk",K10&gt;J10))</formula>
    </cfRule>
  </conditionalFormatting>
  <conditionalFormatting sqref="K11">
    <cfRule type="expression" dxfId="1" priority="8">
      <formula>AND(NOT(ISBLANK(K11)),OR(J11="NonStk",K11&gt;J11))</formula>
    </cfRule>
  </conditionalFormatting>
  <conditionalFormatting sqref="K12">
    <cfRule type="expression" dxfId="1" priority="10">
      <formula>AND(NOT(ISBLANK(K12)),OR(J12="NonStk",K12&gt;J12))</formula>
    </cfRule>
  </conditionalFormatting>
  <conditionalFormatting sqref="K13">
    <cfRule type="expression" dxfId="1" priority="12">
      <formula>AND(NOT(ISBLANK(K13)),OR(J13="NonStk",K13&gt;J13))</formula>
    </cfRule>
  </conditionalFormatting>
  <conditionalFormatting sqref="K14">
    <cfRule type="expression" dxfId="1" priority="14">
      <formula>AND(NOT(ISBLANK(K14)),OR(J14="NonStk",K14&gt;J14))</formula>
    </cfRule>
  </conditionalFormatting>
  <conditionalFormatting sqref="K15">
    <cfRule type="expression" dxfId="1" priority="16">
      <formula>AND(NOT(ISBLANK(K15)),OR(J15="NonStk",K15&gt;J15))</formula>
    </cfRule>
  </conditionalFormatting>
  <conditionalFormatting sqref="K16">
    <cfRule type="expression" dxfId="1" priority="18">
      <formula>AND(NOT(ISBLANK(K16)),OR(J16="NonStk",K16&gt;J16))</formula>
    </cfRule>
  </conditionalFormatting>
  <conditionalFormatting sqref="K17">
    <cfRule type="expression" dxfId="1" priority="20">
      <formula>AND(NOT(ISBLANK(K17)),OR(J17="NonStk",K17&gt;J17))</formula>
    </cfRule>
  </conditionalFormatting>
  <conditionalFormatting sqref="K18">
    <cfRule type="expression" dxfId="1" priority="22">
      <formula>AND(NOT(ISBLANK(K18)),OR(J18="NonStk",K18&gt;J18))</formula>
    </cfRule>
  </conditionalFormatting>
  <conditionalFormatting sqref="K19">
    <cfRule type="expression" dxfId="1" priority="24">
      <formula>AND(NOT(ISBLANK(K19)),OR(J19="NonStk",K19&gt;J19))</formula>
    </cfRule>
  </conditionalFormatting>
  <conditionalFormatting sqref="K20">
    <cfRule type="expression" dxfId="1" priority="26">
      <formula>AND(NOT(ISBLANK(K20)),OR(J20="NonStk",K20&gt;J20))</formula>
    </cfRule>
  </conditionalFormatting>
  <conditionalFormatting sqref="K21">
    <cfRule type="expression" dxfId="1" priority="28">
      <formula>AND(NOT(ISBLANK(K21)),OR(J21="NonStk",K21&gt;J21))</formula>
    </cfRule>
  </conditionalFormatting>
  <conditionalFormatting sqref="K22">
    <cfRule type="expression" dxfId="1" priority="30">
      <formula>AND(NOT(ISBLANK(K22)),OR(J22="NonStk",K22&gt;J22))</formula>
    </cfRule>
  </conditionalFormatting>
  <conditionalFormatting sqref="K23">
    <cfRule type="expression" dxfId="1" priority="32">
      <formula>AND(NOT(ISBLANK(K23)),OR(J23="NonStk",K23&gt;J23))</formula>
    </cfRule>
  </conditionalFormatting>
  <conditionalFormatting sqref="K24">
    <cfRule type="expression" dxfId="1" priority="34">
      <formula>AND(NOT(ISBLANK(K24)),OR(J24="NonStk",K24&gt;J24))</formula>
    </cfRule>
  </conditionalFormatting>
  <conditionalFormatting sqref="K25">
    <cfRule type="expression" dxfId="1" priority="36">
      <formula>AND(NOT(ISBLANK(K25)),OR(J25="NonStk",K25&gt;J25))</formula>
    </cfRule>
  </conditionalFormatting>
  <conditionalFormatting sqref="K7">
    <cfRule type="expression" dxfId="1" priority="2">
      <formula>AND(NOT(ISBLANK(K7)),OR(J7="NonStk",K7&gt;J7))</formula>
    </cfRule>
  </conditionalFormatting>
  <conditionalFormatting sqref="K8">
    <cfRule type="expression" dxfId="1" priority="4">
      <formula>AND(NOT(ISBLANK(K8)),OR(J8="NonStk",K8&gt;J8))</formula>
    </cfRule>
  </conditionalFormatting>
  <hyperlinks>
    <hyperlink ref="F7" r:id="rId1"/>
    <hyperlink ref="O7" r:id="rId2"/>
    <hyperlink ref="F8" r:id="rId3"/>
    <hyperlink ref="O8" r:id="rId4"/>
    <hyperlink ref="F9" r:id="rId5"/>
    <hyperlink ref="F10" r:id="rId6"/>
    <hyperlink ref="O10" r:id="rId7"/>
    <hyperlink ref="F11" r:id="rId8"/>
    <hyperlink ref="O11" r:id="rId9"/>
    <hyperlink ref="F12" r:id="rId10"/>
    <hyperlink ref="O12" r:id="rId11"/>
    <hyperlink ref="F13" r:id="rId12"/>
    <hyperlink ref="O13" r:id="rId13"/>
    <hyperlink ref="F14" r:id="rId14"/>
    <hyperlink ref="O14" r:id="rId15"/>
    <hyperlink ref="F15" r:id="rId16"/>
    <hyperlink ref="O15" r:id="rId17"/>
    <hyperlink ref="F16" r:id="rId18"/>
    <hyperlink ref="O16" r:id="rId19"/>
    <hyperlink ref="F17" r:id="rId20"/>
    <hyperlink ref="O17" r:id="rId21"/>
    <hyperlink ref="F18" r:id="rId22"/>
    <hyperlink ref="O18" r:id="rId23"/>
    <hyperlink ref="F19" r:id="rId24"/>
    <hyperlink ref="O19" r:id="rId25"/>
    <hyperlink ref="F20" r:id="rId26"/>
    <hyperlink ref="O20" r:id="rId27"/>
    <hyperlink ref="F21" r:id="rId28"/>
    <hyperlink ref="O21" r:id="rId29"/>
    <hyperlink ref="F22" r:id="rId30"/>
    <hyperlink ref="O22" r:id="rId31"/>
    <hyperlink ref="F23" r:id="rId32"/>
    <hyperlink ref="O23" r:id="rId33"/>
    <hyperlink ref="F24" r:id="rId34"/>
    <hyperlink ref="O24" r:id="rId35"/>
    <hyperlink ref="F25" r:id="rId36"/>
    <hyperlink ref="O25" r:id="rId37"/>
    <hyperlink ref="J27" r:id="rId38"/>
  </hyperlinks>
  <pageMargins left="0.7" right="0.7" top="0.75" bottom="0.75" header="0.3" footer="0.3"/>
  <legacy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Input_Board_BOM</vt:lpstr>
      <vt:lpstr>'Input_Board_BOM'!BoardQty</vt:lpstr>
      <vt:lpstr>'Input_Board_BOM'!PURCHASE_DESCRIPTION</vt:lpstr>
      <vt:lpstr>'Input_Board_BOM'!TotalCost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2025-04-25T19:38:02Z</dcterms:created>
  <dcterms:modified xsi:type="dcterms:W3CDTF">2025-04-25T19:38:02Z</dcterms:modified>
</cp:coreProperties>
</file>